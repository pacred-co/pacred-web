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收货" sheetId="1" r:id="rId1"/>
  </sheets>
  <definedNames>
    <definedName name="_xlnm._FilterDatabase" localSheetId="0">'收货'!A4:XEY84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87" formatCode="[$฿-41E]\ #,##0.00"/>
    <numFmt numFmtId="188" formatCode="0.0000_ "/>
    <numFmt numFmtId="189" formatCode="0.0000_);[Red]\(0.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TX102"/>
  <sheetViews>
    <sheetView workbookViewId="0"/>
  </sheetViews>
  <sheetData>
    <row r="1">
      <c r="C1" t="str">
        <v>GZS260625-5T</v>
      </c>
    </row>
    <row r="2">
      <c r="A2" t="str">
        <v>GD</v>
      </c>
      <c r="B2" t="str">
        <v>packing list  YY -CAR</v>
      </c>
    </row>
    <row r="3">
      <c r="B3" t="str">
        <v>DATE:2026.4.1</v>
      </c>
    </row>
    <row r="4">
      <c r="A4" t="str">
        <v>编号</v>
      </c>
      <c r="B4" t="str">
        <v>日期</v>
      </c>
      <c r="C4" t="str">
        <v>单号</v>
      </c>
      <c r="D4" t="str">
        <v>唛头</v>
      </c>
      <c r="E4" t="str">
        <v>件数</v>
      </c>
      <c r="F4" t="str">
        <v>单件数量</v>
      </c>
      <c r="G4" t="str">
        <v>单件重量</v>
      </c>
      <c r="H4" t="str">
        <v>总重量</v>
      </c>
      <c r="I4" t="str">
        <v>长</v>
      </c>
      <c r="J4" t="str">
        <v>宽</v>
      </c>
      <c r="K4" t="str">
        <v>高</v>
      </c>
      <c r="L4" t="str">
        <v>材积</v>
      </c>
      <c r="M4" t="str">
        <v>类别+材质</v>
      </c>
      <c r="N4" t="str">
        <v>品名</v>
      </c>
      <c r="O4" t="str">
        <v>英文</v>
      </c>
      <c r="P4" t="str">
        <v>备注</v>
      </c>
      <c r="Q4" t="str">
        <v>项目</v>
      </c>
      <c r="R4" t="str">
        <v>订单号/其他单号</v>
      </c>
      <c r="S4" t="str">
        <v>型号</v>
      </c>
      <c r="T4" t="str">
        <v>单价</v>
      </c>
      <c r="U4" t="str">
        <v>合计</v>
      </c>
      <c r="V4" t="str">
        <v>管道</v>
      </c>
      <c r="W4" t="str">
        <v>会员</v>
      </c>
      <c r="X4" t="str">
        <v>送货人</v>
      </c>
      <c r="Y4" t="str">
        <v>电话</v>
      </c>
      <c r="Z4" t="str">
        <v>站点</v>
      </c>
      <c r="AA4" t="str">
        <v>存货型号</v>
      </c>
      <c r="AB4" t="str">
        <v>存货订单号</v>
      </c>
    </row>
    <row r="5">
      <c r="A5" t="str">
        <v>YWYY12969</v>
      </c>
      <c r="B5" t="str">
        <v>2026.6.17</v>
      </c>
      <c r="C5" t="str">
        <v>X9002591</v>
      </c>
      <c r="D5" t="str">
        <v>MG/WSIM/SEA</v>
      </c>
      <c r="E5">
        <v>4</v>
      </c>
      <c r="F5">
        <v>100</v>
      </c>
      <c r="G5">
        <v>75</v>
      </c>
      <c r="H5">
        <f>G5*E5</f>
        <v>300</v>
      </c>
      <c r="I5">
        <v>79</v>
      </c>
      <c r="J5">
        <v>56</v>
      </c>
      <c r="K5">
        <v>99</v>
      </c>
      <c r="L5">
        <f>K5*J5*I5*E5*0.000001</f>
        <v>1.751904</v>
      </c>
      <c r="M5" t="str">
        <v>短裤</v>
      </c>
      <c r="N5" t="str">
        <f>M5</f>
        <v>短裤</v>
      </c>
      <c r="O5" t="str">
        <v>กางเกงขาสั้น</v>
      </c>
      <c r="P5" t="str">
        <v>PH</v>
      </c>
      <c r="R5" t="str">
        <v>20055076340015</v>
      </c>
      <c r="V5" t="str">
        <v>SEA</v>
      </c>
      <c r="W5" t="str">
        <v>YY</v>
      </c>
    </row>
    <row r="6">
      <c r="B6" t="str">
        <v>2026.6.17</v>
      </c>
      <c r="C6" t="str">
        <v>X9002591</v>
      </c>
      <c r="D6" t="str">
        <v>MG/WSIM/SEA</v>
      </c>
      <c r="E6">
        <v>3</v>
      </c>
      <c r="F6">
        <v>100</v>
      </c>
      <c r="G6">
        <f>1275/17</f>
        <v>75</v>
      </c>
      <c r="H6">
        <f>G6*E6</f>
        <v>225</v>
      </c>
      <c r="I6">
        <v>70</v>
      </c>
      <c r="J6">
        <v>54</v>
      </c>
      <c r="K6">
        <v>81</v>
      </c>
      <c r="L6">
        <f>K6*J6*I6*E6*0.000001</f>
        <v>0.91854</v>
      </c>
      <c r="M6" t="str">
        <v>短裤</v>
      </c>
      <c r="N6" t="str">
        <f>M6</f>
        <v>短裤</v>
      </c>
      <c r="O6" t="str">
        <v>กางเกงขาสั้น</v>
      </c>
      <c r="P6" t="str">
        <v>PH</v>
      </c>
      <c r="V6" t="str">
        <v>SEA</v>
      </c>
      <c r="W6" t="str">
        <v>YY</v>
      </c>
    </row>
    <row r="7">
      <c r="A7" t="str">
        <v>YWYY12991</v>
      </c>
      <c r="B7" t="str">
        <v>2026.6.19</v>
      </c>
      <c r="C7" t="str">
        <v>X9002612</v>
      </c>
      <c r="D7" t="str">
        <v>SPK/KTM888/SEA</v>
      </c>
      <c r="E7">
        <v>1</v>
      </c>
      <c r="F7">
        <v>1</v>
      </c>
      <c r="G7">
        <v>6.3</v>
      </c>
      <c r="H7">
        <f>G7*E7</f>
        <v>6.3</v>
      </c>
      <c r="I7">
        <v>50</v>
      </c>
      <c r="J7">
        <v>63</v>
      </c>
      <c r="K7">
        <v>56</v>
      </c>
      <c r="L7">
        <f>K7*J7*I7*E7*0.000001</f>
        <v>0.1764</v>
      </c>
      <c r="M7" t="str">
        <v>风管三通</v>
      </c>
      <c r="N7" t="str">
        <f>M7</f>
        <v>风管三通</v>
      </c>
      <c r="O7" t="str">
        <v>ข้อต่อท่อลมรูปตัว T</v>
      </c>
      <c r="P7" t="str">
        <v>PH</v>
      </c>
      <c r="R7" t="str">
        <v>773427332585594</v>
      </c>
      <c r="V7" t="str">
        <v>SEA</v>
      </c>
      <c r="W7" t="str">
        <v>YY</v>
      </c>
    </row>
    <row r="8">
      <c r="A8" t="str">
        <v>YWYY12992</v>
      </c>
      <c r="B8" t="str">
        <v>2026.6.19</v>
      </c>
      <c r="C8" t="str">
        <v>X9002613</v>
      </c>
      <c r="D8" t="str">
        <v>SPK/4K/SEA</v>
      </c>
      <c r="E8">
        <v>100</v>
      </c>
      <c r="F8">
        <v>1</v>
      </c>
      <c r="G8">
        <v>5.6</v>
      </c>
      <c r="H8">
        <f>G8*E8</f>
        <v>560</v>
      </c>
      <c r="I8">
        <v>17</v>
      </c>
      <c r="J8">
        <v>45</v>
      </c>
      <c r="K8">
        <v>58</v>
      </c>
      <c r="L8">
        <f>K8*J8*I8*E8*0.000001</f>
        <v>4.437</v>
      </c>
      <c r="M8" t="str">
        <v>风扇</v>
      </c>
      <c r="N8" t="str">
        <f>M8</f>
        <v>风扇</v>
      </c>
      <c r="O8" t="str">
        <v>พัดลม</v>
      </c>
      <c r="P8" t="str">
        <v>PH</v>
      </c>
      <c r="V8" t="str">
        <v>SEA</v>
      </c>
      <c r="W8" t="str">
        <v>YY</v>
      </c>
    </row>
    <row r="9">
      <c r="A9" t="str">
        <v>YWYY12993</v>
      </c>
      <c r="B9" t="str">
        <v>2026.6.19</v>
      </c>
      <c r="C9" t="str">
        <v>X9002614</v>
      </c>
      <c r="D9" t="str">
        <v>MG/MLIF/SEA</v>
      </c>
      <c r="E9">
        <v>5</v>
      </c>
      <c r="F9">
        <v>10</v>
      </c>
      <c r="G9">
        <v>3</v>
      </c>
      <c r="H9">
        <f>G9*E9</f>
        <v>15</v>
      </c>
      <c r="I9">
        <v>29</v>
      </c>
      <c r="J9">
        <v>57</v>
      </c>
      <c r="K9">
        <v>18</v>
      </c>
      <c r="L9">
        <f>K9*J9*I9*E9*0.000001</f>
        <v>0.14877</v>
      </c>
      <c r="M9" t="str">
        <v>人体模型</v>
      </c>
      <c r="N9" t="str">
        <f>M9</f>
        <v>人体模型</v>
      </c>
      <c r="O9" t="str">
        <v>หุ่นโชว์เสื้อผ้า</v>
      </c>
      <c r="P9" t="str">
        <v>PH</v>
      </c>
      <c r="R9" t="str">
        <v>0229049434791</v>
      </c>
      <c r="V9" t="str">
        <v>SEA</v>
      </c>
      <c r="W9" t="str">
        <v>YY</v>
      </c>
    </row>
    <row r="10">
      <c r="A10" t="str">
        <v>YWYY12994</v>
      </c>
      <c r="B10" t="str">
        <v>2026.6.19</v>
      </c>
      <c r="C10" t="str">
        <v>X9002615</v>
      </c>
      <c r="D10" t="str">
        <v>SPK/KUNG65/SEA</v>
      </c>
      <c r="E10">
        <v>1</v>
      </c>
      <c r="F10">
        <v>1</v>
      </c>
      <c r="G10">
        <v>30</v>
      </c>
      <c r="H10">
        <f>G10*E10</f>
        <v>30</v>
      </c>
      <c r="I10">
        <v>49</v>
      </c>
      <c r="J10">
        <v>27</v>
      </c>
      <c r="K10">
        <v>20</v>
      </c>
      <c r="L10">
        <f>K10*J10*I10*E10*0.000001</f>
        <v>0.02646</v>
      </c>
      <c r="M10" t="str">
        <v>面条机</v>
      </c>
      <c r="N10" t="str">
        <f>M10</f>
        <v>面条机</v>
      </c>
      <c r="O10" t="str">
        <v>เครื่องทำเส้นบะหมี่</v>
      </c>
      <c r="P10" t="str">
        <v>PH</v>
      </c>
      <c r="R10" t="str">
        <v>006965465716</v>
      </c>
      <c r="V10" t="str">
        <v>SEA</v>
      </c>
      <c r="W10" t="str">
        <v>YY</v>
      </c>
    </row>
    <row r="11">
      <c r="B11" t="str">
        <v>2026.6.19</v>
      </c>
      <c r="C11" t="str">
        <v>X9002615</v>
      </c>
      <c r="D11" t="str">
        <v>SPK/KUNG65/SEA</v>
      </c>
      <c r="E11">
        <v>2</v>
      </c>
      <c r="F11">
        <v>1</v>
      </c>
      <c r="G11">
        <v>30</v>
      </c>
      <c r="H11">
        <f>G11*E11</f>
        <v>60</v>
      </c>
      <c r="I11">
        <v>67</v>
      </c>
      <c r="J11">
        <v>41</v>
      </c>
      <c r="K11">
        <v>27</v>
      </c>
      <c r="L11">
        <f>K11*J11*I11*E11*0.000001</f>
        <v>0.148338</v>
      </c>
      <c r="M11" t="str">
        <v>面条机</v>
      </c>
      <c r="N11" t="str">
        <f>M11</f>
        <v>面条机</v>
      </c>
      <c r="O11" t="str">
        <v>เครื่องทำเส้นบะหมี่</v>
      </c>
      <c r="P11" t="str">
        <v>PH</v>
      </c>
      <c r="V11" t="str">
        <v>SEA</v>
      </c>
      <c r="W11" t="str">
        <v>YY</v>
      </c>
    </row>
    <row r="12">
      <c r="A12" t="str">
        <v>YWYY12995</v>
      </c>
      <c r="B12" t="str">
        <v>2026.6.19</v>
      </c>
      <c r="C12" t="str">
        <v>X9002616</v>
      </c>
      <c r="D12" t="str">
        <v>SPK/KTM888/SEA</v>
      </c>
      <c r="E12">
        <v>1</v>
      </c>
      <c r="F12">
        <v>1</v>
      </c>
      <c r="G12">
        <v>10</v>
      </c>
      <c r="H12">
        <f>G12*E12</f>
        <v>10</v>
      </c>
      <c r="I12">
        <v>42</v>
      </c>
      <c r="J12">
        <v>34</v>
      </c>
      <c r="K12">
        <v>54</v>
      </c>
      <c r="L12">
        <f>K12*J12*I12*E12*0.000001</f>
        <v>0.077112</v>
      </c>
      <c r="M12" t="str">
        <v>排风机</v>
      </c>
      <c r="N12" t="str">
        <f>M12</f>
        <v>排风机</v>
      </c>
      <c r="O12" t="str">
        <v>พัดลมดูดอากาศ</v>
      </c>
      <c r="P12" t="str">
        <v>PH</v>
      </c>
      <c r="R12" t="str">
        <v>301896203499</v>
      </c>
      <c r="V12" t="str">
        <v>SEA</v>
      </c>
      <c r="W12" t="str">
        <v>YY</v>
      </c>
    </row>
    <row r="13">
      <c r="A13" t="str">
        <v>YWYY12996</v>
      </c>
      <c r="B13" t="str">
        <v>2026.6.19</v>
      </c>
      <c r="C13" t="str">
        <v>X9002617</v>
      </c>
      <c r="D13" t="str">
        <v>SPK/KTM888/SEA</v>
      </c>
      <c r="E13">
        <v>1</v>
      </c>
      <c r="F13">
        <v>1</v>
      </c>
      <c r="G13">
        <v>10</v>
      </c>
      <c r="H13">
        <f>G13*E13</f>
        <v>10</v>
      </c>
      <c r="I13">
        <v>68</v>
      </c>
      <c r="J13">
        <v>54</v>
      </c>
      <c r="K13">
        <v>82</v>
      </c>
      <c r="L13">
        <f>K13*J13*I13*E13*0.000001</f>
        <v>0.301104</v>
      </c>
      <c r="M13" t="str">
        <v>风管</v>
      </c>
      <c r="N13" t="str">
        <f>M13</f>
        <v>风管</v>
      </c>
      <c r="O13" t="str">
        <v>ท่อลม</v>
      </c>
      <c r="P13" t="str">
        <v>PH</v>
      </c>
      <c r="R13">
        <v>982889656</v>
      </c>
      <c r="V13" t="str">
        <v>SEA</v>
      </c>
      <c r="W13" t="str">
        <v>YY</v>
      </c>
    </row>
    <row r="14">
      <c r="A14" t="str">
        <v>YWYY12997</v>
      </c>
      <c r="B14" t="str">
        <v>2026.6.19</v>
      </c>
      <c r="C14" t="str">
        <v>X9002618</v>
      </c>
      <c r="D14" t="str">
        <v>MG/MLIF/SEA</v>
      </c>
      <c r="E14">
        <v>5</v>
      </c>
      <c r="F14">
        <v>1</v>
      </c>
      <c r="G14">
        <v>3</v>
      </c>
      <c r="H14">
        <f>G14*E14</f>
        <v>15</v>
      </c>
      <c r="I14">
        <v>29</v>
      </c>
      <c r="J14">
        <v>57</v>
      </c>
      <c r="K14">
        <v>18</v>
      </c>
      <c r="L14">
        <f>K14*J14*I14*E14*0.000001</f>
        <v>0.14877</v>
      </c>
      <c r="M14" t="str">
        <v>人体模型</v>
      </c>
      <c r="N14" t="str">
        <f>M14</f>
        <v>人体模型</v>
      </c>
      <c r="O14" t="str">
        <v>หุ่นโชว์เสื้อผ้า</v>
      </c>
      <c r="P14" t="str">
        <v>PH</v>
      </c>
      <c r="R14" t="str">
        <v>5197891513200</v>
      </c>
      <c r="V14" t="str">
        <v>SEA</v>
      </c>
      <c r="W14" t="str">
        <v>YY</v>
      </c>
    </row>
    <row r="15">
      <c r="A15" t="str">
        <v>YWYY12998</v>
      </c>
      <c r="B15" t="str">
        <v>2026.6.19</v>
      </c>
      <c r="C15" t="str">
        <v>X9002619</v>
      </c>
      <c r="D15" t="str">
        <v>SPK/KTM888/SEA</v>
      </c>
      <c r="E15">
        <v>1</v>
      </c>
      <c r="F15">
        <v>1</v>
      </c>
      <c r="G15">
        <v>63</v>
      </c>
      <c r="H15">
        <f>G15*E15</f>
        <v>63</v>
      </c>
      <c r="I15">
        <v>45</v>
      </c>
      <c r="J15">
        <v>29</v>
      </c>
      <c r="K15">
        <v>27</v>
      </c>
      <c r="L15">
        <f>K15*J15*I15*E15*0.000001</f>
        <v>0.035235</v>
      </c>
      <c r="M15" t="str">
        <v>清洁机</v>
      </c>
      <c r="N15" t="str">
        <f>M15</f>
        <v>清洁机</v>
      </c>
      <c r="O15" t="str">
        <v>เครื่องทำความสะอาด</v>
      </c>
      <c r="P15" t="str">
        <v>PH</v>
      </c>
      <c r="R15" t="str">
        <v>7627952000430</v>
      </c>
      <c r="V15" t="str">
        <v>SEA</v>
      </c>
      <c r="W15" t="str">
        <v>YY</v>
      </c>
    </row>
    <row r="16">
      <c r="A16" t="str">
        <v>YWYY12999</v>
      </c>
      <c r="B16" t="str">
        <v>2026.6.19</v>
      </c>
      <c r="C16" t="str">
        <v>X9002620</v>
      </c>
      <c r="D16" t="str">
        <v>SP/SCAR/SEA</v>
      </c>
      <c r="E16">
        <v>2</v>
      </c>
      <c r="F16">
        <v>1</v>
      </c>
      <c r="G16">
        <v>14.5</v>
      </c>
      <c r="H16">
        <f>G16*E16</f>
        <v>29</v>
      </c>
      <c r="I16">
        <v>56</v>
      </c>
      <c r="J16">
        <v>37</v>
      </c>
      <c r="K16">
        <v>60</v>
      </c>
      <c r="L16">
        <f>K16*J16*I16*E16*0.000001</f>
        <v>0.24864</v>
      </c>
      <c r="M16" t="str">
        <v>充气服</v>
      </c>
      <c r="N16" t="str">
        <f>M16</f>
        <v>充气服</v>
      </c>
      <c r="O16" t="str">
        <v>ชุดเป่าลม</v>
      </c>
      <c r="P16" t="str">
        <v>PH</v>
      </c>
      <c r="R16" t="str">
        <v>7628166411065/66082614</v>
      </c>
      <c r="V16" t="str">
        <v>SEA</v>
      </c>
      <c r="W16" t="str">
        <v>YY</v>
      </c>
    </row>
    <row r="17">
      <c r="A17" t="str">
        <v>YWYY13000</v>
      </c>
      <c r="B17" t="str">
        <v>2026.6.19</v>
      </c>
      <c r="C17" t="str">
        <v>X9002621</v>
      </c>
      <c r="D17" t="str">
        <v>SPK/KTM888/SEA</v>
      </c>
      <c r="E17">
        <v>5</v>
      </c>
      <c r="F17">
        <v>144</v>
      </c>
      <c r="G17">
        <v>9</v>
      </c>
      <c r="H17">
        <f>G17*E17</f>
        <v>45</v>
      </c>
      <c r="I17">
        <v>30</v>
      </c>
      <c r="J17">
        <v>22</v>
      </c>
      <c r="K17">
        <v>44</v>
      </c>
      <c r="L17">
        <f>K17*J17*I17*E17*0.000001</f>
        <v>0.1452</v>
      </c>
      <c r="M17" t="str">
        <v>胶水</v>
      </c>
      <c r="N17" t="str">
        <f>M17</f>
        <v>胶水</v>
      </c>
      <c r="O17" t="str">
        <v>กาว</v>
      </c>
      <c r="P17" t="str">
        <v>PH</v>
      </c>
      <c r="R17">
        <v>82611903474</v>
      </c>
      <c r="V17" t="str">
        <v>SEA</v>
      </c>
      <c r="W17" t="str">
        <v>YY</v>
      </c>
    </row>
    <row r="18">
      <c r="B18" t="str">
        <v>2026.6.19</v>
      </c>
      <c r="C18" t="str">
        <v>X9002621</v>
      </c>
      <c r="D18" t="str">
        <v>SPK/KTM888/SEA</v>
      </c>
      <c r="E18">
        <v>1</v>
      </c>
      <c r="F18">
        <v>144</v>
      </c>
      <c r="G18">
        <v>10</v>
      </c>
      <c r="H18">
        <f>G18*E18</f>
        <v>10</v>
      </c>
      <c r="I18">
        <v>37</v>
      </c>
      <c r="J18">
        <v>30</v>
      </c>
      <c r="K18">
        <v>44</v>
      </c>
      <c r="L18">
        <f>K18*J18*I18*E18*0.000001</f>
        <v>0.04884</v>
      </c>
      <c r="M18" t="str">
        <v>胶水</v>
      </c>
      <c r="N18" t="str">
        <f>M18</f>
        <v>胶水</v>
      </c>
      <c r="O18" t="str">
        <v>กาว</v>
      </c>
      <c r="P18" t="str">
        <v>PH</v>
      </c>
      <c r="V18" t="str">
        <v>SEA</v>
      </c>
      <c r="W18" t="str">
        <v>YY</v>
      </c>
    </row>
    <row r="19">
      <c r="A19" t="str">
        <v>YWYY13001</v>
      </c>
      <c r="B19" t="str">
        <v>2026.6.19</v>
      </c>
      <c r="C19" t="str">
        <v>X9002622</v>
      </c>
      <c r="D19" t="str">
        <v>SPK/KTM888/SEA</v>
      </c>
      <c r="E19">
        <v>1</v>
      </c>
      <c r="F19">
        <v>1</v>
      </c>
      <c r="G19">
        <v>18</v>
      </c>
      <c r="H19">
        <f>G19*E19</f>
        <v>18</v>
      </c>
      <c r="I19">
        <v>45</v>
      </c>
      <c r="J19">
        <v>44</v>
      </c>
      <c r="K19">
        <v>55</v>
      </c>
      <c r="L19">
        <f>K19*J19*I19*E19*0.000001</f>
        <v>0.1089</v>
      </c>
      <c r="M19" t="str">
        <v>水管箍</v>
      </c>
      <c r="N19" t="str">
        <f>M19</f>
        <v>水管箍</v>
      </c>
      <c r="O19" t="str">
        <v>แคลมป์รัดท่อ</v>
      </c>
      <c r="P19" t="str">
        <v>PH</v>
      </c>
      <c r="V19" t="str">
        <v>SEA</v>
      </c>
      <c r="W19" t="str">
        <v>YY</v>
      </c>
    </row>
    <row r="20">
      <c r="A20" t="str">
        <v>YWYY13002</v>
      </c>
      <c r="B20" t="str">
        <v>2026.6.20</v>
      </c>
      <c r="C20" t="str">
        <v>X9002623</v>
      </c>
      <c r="D20" t="str">
        <v>SPK/KTM888/SEA</v>
      </c>
      <c r="E20">
        <v>1</v>
      </c>
      <c r="F20">
        <v>1</v>
      </c>
      <c r="G20">
        <v>5.9</v>
      </c>
      <c r="H20">
        <f>G20*E20</f>
        <v>5.9</v>
      </c>
      <c r="I20">
        <v>34</v>
      </c>
      <c r="J20">
        <v>37</v>
      </c>
      <c r="K20">
        <v>38</v>
      </c>
      <c r="L20">
        <f>K20*J20*I20*E20*0.000001</f>
        <v>0.047804</v>
      </c>
      <c r="M20" t="str">
        <v>水泵</v>
      </c>
      <c r="N20" t="str">
        <f>M20</f>
        <v>水泵</v>
      </c>
      <c r="O20" t="str">
        <v>ปั๊มน้ำ</v>
      </c>
      <c r="P20" t="str">
        <v>PH</v>
      </c>
      <c r="R20" t="str">
        <v>79012959801994</v>
      </c>
      <c r="V20" t="str">
        <v>SEA</v>
      </c>
      <c r="W20" t="str">
        <v>YY</v>
      </c>
    </row>
    <row r="21">
      <c r="A21" t="str">
        <v>YWYY13003</v>
      </c>
      <c r="B21" t="str">
        <v>2026.6.20</v>
      </c>
      <c r="C21" t="str">
        <v>X9002624</v>
      </c>
      <c r="D21" t="str">
        <v>SP/WCUP/SEA</v>
      </c>
      <c r="E21">
        <v>8</v>
      </c>
      <c r="F21">
        <v>1</v>
      </c>
      <c r="G21">
        <v>17.5</v>
      </c>
      <c r="H21">
        <f>G21*E21</f>
        <v>140</v>
      </c>
      <c r="I21">
        <v>36</v>
      </c>
      <c r="J21">
        <v>32</v>
      </c>
      <c r="K21">
        <v>52</v>
      </c>
      <c r="L21">
        <f>K21*J21*I21*E21*0.000001</f>
        <v>0.479232</v>
      </c>
      <c r="M21" t="str">
        <v>纸袋</v>
      </c>
      <c r="N21" t="str">
        <f>M21</f>
        <v>纸袋</v>
      </c>
      <c r="O21" t="str">
        <v>ถุงกระดาษ</v>
      </c>
      <c r="P21" t="str">
        <v>PH</v>
      </c>
      <c r="R21" t="str">
        <v>800204509953</v>
      </c>
      <c r="V21" t="str">
        <v>SEA</v>
      </c>
      <c r="W21" t="str">
        <v>YY</v>
      </c>
    </row>
    <row r="22">
      <c r="A22" t="str">
        <v>YWYY13004</v>
      </c>
      <c r="B22" t="str">
        <v>2026.6.20</v>
      </c>
      <c r="C22" t="str">
        <v>X9002625</v>
      </c>
      <c r="D22" t="str">
        <v>SPK/KTM888/SEA</v>
      </c>
      <c r="E22">
        <v>1</v>
      </c>
      <c r="F22">
        <v>1</v>
      </c>
      <c r="G22">
        <v>23</v>
      </c>
      <c r="H22">
        <f>G22*E22</f>
        <v>23</v>
      </c>
      <c r="I22">
        <v>68</v>
      </c>
      <c r="J22">
        <v>23</v>
      </c>
      <c r="K22">
        <v>79</v>
      </c>
      <c r="L22">
        <f>K22*J22*I22*E22*0.000001</f>
        <v>0.123556</v>
      </c>
      <c r="M22" t="str">
        <v>储物柜</v>
      </c>
      <c r="N22" t="str">
        <f>M22</f>
        <v>储物柜</v>
      </c>
      <c r="O22" t="str">
        <v>ตู้เก็บของ</v>
      </c>
      <c r="P22" t="str">
        <v>PH</v>
      </c>
      <c r="R22" t="str">
        <v>202464471303</v>
      </c>
      <c r="V22" t="str">
        <v>SEA</v>
      </c>
      <c r="W22" t="str">
        <v>YY</v>
      </c>
    </row>
    <row r="23">
      <c r="A23" t="str">
        <v>YWYY13005</v>
      </c>
      <c r="B23" t="str">
        <v>2026.6.20</v>
      </c>
      <c r="C23" t="str">
        <v>X9002626</v>
      </c>
      <c r="D23" t="str">
        <v>SPK/KTM888/SEA</v>
      </c>
      <c r="E23">
        <v>1</v>
      </c>
      <c r="F23">
        <v>1</v>
      </c>
      <c r="G23">
        <v>30</v>
      </c>
      <c r="H23">
        <f>G23*E23</f>
        <v>30</v>
      </c>
      <c r="I23">
        <v>61</v>
      </c>
      <c r="J23">
        <v>45</v>
      </c>
      <c r="K23">
        <v>77</v>
      </c>
      <c r="L23">
        <f>K23*J23*I23*E23*0.000001</f>
        <v>0.211365</v>
      </c>
      <c r="M23" t="str">
        <v>减震垫</v>
      </c>
      <c r="N23" t="str">
        <f>M23</f>
        <v>减震垫</v>
      </c>
      <c r="O23" t="str">
        <v>แผ่นรองกันกระแทก</v>
      </c>
      <c r="P23" t="str">
        <v>PH</v>
      </c>
      <c r="R23">
        <v>2109555</v>
      </c>
      <c r="V23" t="str">
        <v>SEA</v>
      </c>
      <c r="W23" t="str">
        <v>YY</v>
      </c>
    </row>
    <row r="24">
      <c r="A24" t="str">
        <v>YWYY13006</v>
      </c>
      <c r="B24" t="str">
        <v>2026.6.20</v>
      </c>
      <c r="C24" t="str">
        <v>X9002627</v>
      </c>
      <c r="D24" t="str">
        <v>SPW/MWA/SEA/1</v>
      </c>
      <c r="E24">
        <v>6</v>
      </c>
      <c r="F24">
        <v>1</v>
      </c>
      <c r="G24">
        <f>132/6</f>
        <v>22</v>
      </c>
      <c r="H24">
        <f>G24*E24</f>
        <v>132</v>
      </c>
      <c r="I24">
        <v>60</v>
      </c>
      <c r="J24">
        <v>58</v>
      </c>
      <c r="K24">
        <v>71</v>
      </c>
      <c r="L24">
        <f>K24*J24*I24*E24*0.000001</f>
        <v>1.48248</v>
      </c>
      <c r="M24" t="str">
        <v>风筝</v>
      </c>
      <c r="N24" t="str">
        <f>M24</f>
        <v>风筝</v>
      </c>
      <c r="O24" t="str">
        <v>ว่าว</v>
      </c>
      <c r="P24" t="str">
        <v>PH</v>
      </c>
      <c r="V24" t="str">
        <v>SEA</v>
      </c>
      <c r="W24" t="str">
        <v>YY</v>
      </c>
    </row>
    <row r="25">
      <c r="A25" t="str">
        <v>YWYY13007</v>
      </c>
      <c r="B25" t="str">
        <v>2026.6.20</v>
      </c>
      <c r="C25" t="str">
        <v>X9002628</v>
      </c>
      <c r="D25" t="str">
        <v>SPW/MWA/SEA</v>
      </c>
      <c r="E25">
        <v>2</v>
      </c>
      <c r="F25">
        <v>1</v>
      </c>
      <c r="G25">
        <v>22</v>
      </c>
      <c r="H25">
        <f>G25*E25</f>
        <v>44</v>
      </c>
      <c r="I25">
        <v>58</v>
      </c>
      <c r="J25">
        <v>71</v>
      </c>
      <c r="K25">
        <v>60</v>
      </c>
      <c r="L25">
        <f>K25*J25*I25*E25*0.000001</f>
        <v>0.49416</v>
      </c>
      <c r="M25" t="str">
        <v>风筝</v>
      </c>
      <c r="N25" t="str">
        <f>M25</f>
        <v>风筝</v>
      </c>
      <c r="O25" t="str">
        <v>ว่าว</v>
      </c>
      <c r="P25" t="str">
        <v>PH</v>
      </c>
      <c r="V25" t="str">
        <v>SEA</v>
      </c>
      <c r="W25" t="str">
        <v>YY</v>
      </c>
    </row>
    <row r="26">
      <c r="A26" t="str">
        <v>YWYY13008</v>
      </c>
      <c r="B26" t="str">
        <v>2026.6.20</v>
      </c>
      <c r="C26" t="str">
        <v>X9002629</v>
      </c>
      <c r="D26" t="str">
        <v>SPK/KTM888/SEA</v>
      </c>
      <c r="E26">
        <v>1</v>
      </c>
      <c r="F26">
        <v>1</v>
      </c>
      <c r="G26">
        <v>1.5</v>
      </c>
      <c r="H26">
        <f>G26*E26</f>
        <v>1.5</v>
      </c>
      <c r="I26">
        <v>19</v>
      </c>
      <c r="J26">
        <v>35</v>
      </c>
      <c r="K26">
        <v>13</v>
      </c>
      <c r="L26">
        <f>K26*J26*I26*E26*0.000001</f>
        <v>0.008645</v>
      </c>
      <c r="M26" t="str">
        <v>过滤器</v>
      </c>
      <c r="N26" t="str">
        <f>M26</f>
        <v>过滤器</v>
      </c>
      <c r="O26" t="str">
        <v>ตัวกรอง</v>
      </c>
      <c r="P26" t="str">
        <v>PH</v>
      </c>
      <c r="R26" t="str">
        <v>773427475437149</v>
      </c>
      <c r="V26" t="str">
        <v>SEA</v>
      </c>
      <c r="W26" t="str">
        <v>YY</v>
      </c>
    </row>
    <row r="27">
      <c r="A27" t="str">
        <v>YWYY13009</v>
      </c>
      <c r="B27" t="str">
        <v>2026.6.20</v>
      </c>
      <c r="C27" t="str">
        <v>X9002630</v>
      </c>
      <c r="D27" t="str">
        <v>SPW/BB457/SEA</v>
      </c>
      <c r="E27">
        <v>7</v>
      </c>
      <c r="F27">
        <v>10</v>
      </c>
      <c r="G27">
        <v>7.5</v>
      </c>
      <c r="H27">
        <f>G27*E27</f>
        <v>52.5</v>
      </c>
      <c r="I27">
        <v>30</v>
      </c>
      <c r="J27">
        <v>31</v>
      </c>
      <c r="K27">
        <v>42</v>
      </c>
      <c r="L27">
        <f>K27*J27*I27*E27*0.000001</f>
        <v>0.27342</v>
      </c>
      <c r="M27" t="str">
        <v>果冻加磁圈</v>
      </c>
      <c r="N27" t="str">
        <f>M27</f>
        <v>果冻加磁圈</v>
      </c>
      <c r="O27" t="str">
        <v>วงแหวนแม่เหล็ก</v>
      </c>
      <c r="P27" t="str">
        <v>PH</v>
      </c>
      <c r="R27">
        <v>71058885376</v>
      </c>
      <c r="V27" t="str">
        <v>SEA</v>
      </c>
      <c r="W27" t="str">
        <v>YY</v>
      </c>
    </row>
    <row r="28">
      <c r="A28" t="str">
        <v>YWYY13010</v>
      </c>
      <c r="B28" t="str">
        <v>2026.6.21</v>
      </c>
      <c r="C28" t="str">
        <v>X9002631</v>
      </c>
      <c r="D28" t="str">
        <v>SPK/KTM888/SEA</v>
      </c>
      <c r="E28">
        <v>5</v>
      </c>
      <c r="F28">
        <v>1</v>
      </c>
      <c r="G28">
        <v>25</v>
      </c>
      <c r="H28">
        <f>G28*E28</f>
        <v>125</v>
      </c>
      <c r="I28">
        <v>40</v>
      </c>
      <c r="J28">
        <v>55</v>
      </c>
      <c r="K28">
        <v>25</v>
      </c>
      <c r="L28">
        <f>K28*J28*I28*E28*0.000001</f>
        <v>0.275</v>
      </c>
      <c r="M28" t="str">
        <v>电容</v>
      </c>
      <c r="N28" t="str">
        <f>M28</f>
        <v>电容</v>
      </c>
      <c r="O28" t="str">
        <v>ตัวเก็บประจุ (คาปาซิเตอร์)</v>
      </c>
      <c r="P28" t="str">
        <v>PH</v>
      </c>
      <c r="R28" t="str">
        <v>3167395246056/458375/508710/5925343/537561</v>
      </c>
      <c r="V28" t="str">
        <v>SEA</v>
      </c>
      <c r="W28" t="str">
        <v>YY</v>
      </c>
    </row>
    <row r="29">
      <c r="A29" t="str">
        <v>YWYY13011</v>
      </c>
      <c r="B29" t="str">
        <v>2026.6.21</v>
      </c>
      <c r="C29" t="str">
        <v>X9002632</v>
      </c>
      <c r="D29" t="str">
        <v>SPK/KTM888/SEA</v>
      </c>
      <c r="E29">
        <v>1</v>
      </c>
      <c r="F29">
        <v>10</v>
      </c>
      <c r="G29">
        <f>57/3</f>
        <v>19</v>
      </c>
      <c r="H29">
        <f>G29*E29</f>
        <v>19</v>
      </c>
      <c r="I29">
        <v>63</v>
      </c>
      <c r="J29">
        <v>30</v>
      </c>
      <c r="K29">
        <v>24</v>
      </c>
      <c r="L29">
        <f>K29*J29*I29*E29*0.000001</f>
        <v>0.04536</v>
      </c>
      <c r="M29" t="str">
        <v>吊扇</v>
      </c>
      <c r="N29" t="str">
        <f>M29</f>
        <v>吊扇</v>
      </c>
      <c r="O29" t="str">
        <v>พัดลมเพดาน</v>
      </c>
      <c r="P29" t="str">
        <v>PH</v>
      </c>
      <c r="R29" t="str">
        <v>79012967536624/66921849/7636693</v>
      </c>
      <c r="V29" t="str">
        <v>SEA</v>
      </c>
      <c r="W29" t="str">
        <v>YY</v>
      </c>
    </row>
    <row r="30">
      <c r="B30" t="str">
        <v>2026.6.21</v>
      </c>
      <c r="C30" t="str">
        <v>X9002632</v>
      </c>
      <c r="D30" t="str">
        <v>SPK/KTM888/SEA</v>
      </c>
      <c r="E30">
        <v>2</v>
      </c>
      <c r="F30">
        <v>10</v>
      </c>
      <c r="G30">
        <f>57/3</f>
        <v>19</v>
      </c>
      <c r="H30">
        <f>G30*E30</f>
        <v>38</v>
      </c>
      <c r="I30">
        <v>30</v>
      </c>
      <c r="J30">
        <v>22</v>
      </c>
      <c r="K30">
        <v>70</v>
      </c>
      <c r="L30">
        <f>K30*J30*I30*E30*0.000001</f>
        <v>0.0924</v>
      </c>
      <c r="M30" t="str">
        <v>吊扇</v>
      </c>
      <c r="N30" t="str">
        <f>M30</f>
        <v>吊扇</v>
      </c>
      <c r="O30" t="str">
        <v>พัดลมเพดาน</v>
      </c>
      <c r="P30" t="str">
        <v>PH</v>
      </c>
      <c r="V30" t="str">
        <v>SEA</v>
      </c>
      <c r="W30" t="str">
        <v>YY</v>
      </c>
    </row>
    <row r="31">
      <c r="A31" t="str">
        <v>YWYY13012</v>
      </c>
      <c r="B31" t="str">
        <v>2026.6.21</v>
      </c>
      <c r="C31" t="str">
        <v>X9002633</v>
      </c>
      <c r="D31" t="str">
        <v>SPK/KTM888/SEA</v>
      </c>
      <c r="E31">
        <v>1</v>
      </c>
      <c r="F31">
        <v>10</v>
      </c>
      <c r="G31">
        <v>17</v>
      </c>
      <c r="H31">
        <f>G31*E31</f>
        <v>17</v>
      </c>
      <c r="I31">
        <v>69</v>
      </c>
      <c r="J31">
        <v>30</v>
      </c>
      <c r="K31">
        <v>84</v>
      </c>
      <c r="L31">
        <f>K31*J31*I31*E31*0.000001</f>
        <v>0.17388</v>
      </c>
      <c r="M31" t="str">
        <v>风机</v>
      </c>
      <c r="N31" t="str">
        <f>M31</f>
        <v>风机</v>
      </c>
      <c r="O31" t="str">
        <v>พัดลมเป่าลม</v>
      </c>
      <c r="P31" t="str">
        <v>PH</v>
      </c>
      <c r="R31" t="str">
        <v>760233782642</v>
      </c>
      <c r="V31" t="str">
        <v>SEA</v>
      </c>
      <c r="W31" t="str">
        <v>YY</v>
      </c>
    </row>
    <row r="32">
      <c r="A32" t="str">
        <v>YWYY13013</v>
      </c>
      <c r="B32" t="str">
        <v>2026.6.21</v>
      </c>
      <c r="C32" t="str">
        <v>X9002634</v>
      </c>
      <c r="D32" t="str">
        <v>SPK/KTM888/SEA</v>
      </c>
      <c r="E32">
        <v>1</v>
      </c>
      <c r="F32">
        <v>1</v>
      </c>
      <c r="G32">
        <v>12.6</v>
      </c>
      <c r="H32">
        <f>G32*E32</f>
        <v>12.6</v>
      </c>
      <c r="I32">
        <v>53</v>
      </c>
      <c r="J32">
        <v>45</v>
      </c>
      <c r="K32">
        <v>45</v>
      </c>
      <c r="L32">
        <f>K32*J32*I32*E32*0.000001</f>
        <v>0.107325</v>
      </c>
      <c r="M32" t="str">
        <v>塑料盒</v>
      </c>
      <c r="N32" t="str">
        <f>M32</f>
        <v>塑料盒</v>
      </c>
      <c r="O32" t="str">
        <v>กล่องพลาสติก</v>
      </c>
      <c r="P32" t="str">
        <v>PH</v>
      </c>
      <c r="R32" t="str">
        <v>3167575895477</v>
      </c>
      <c r="V32" t="str">
        <v>SEA</v>
      </c>
      <c r="W32" t="str">
        <v>YY</v>
      </c>
    </row>
    <row r="33">
      <c r="A33" t="str">
        <v>YWYY13014</v>
      </c>
      <c r="B33" t="str">
        <v>2026.6.21</v>
      </c>
      <c r="C33" t="str">
        <v>X9002635</v>
      </c>
      <c r="D33" t="str">
        <v>SPK/KTM888/SEA</v>
      </c>
      <c r="E33">
        <v>3</v>
      </c>
      <c r="F33">
        <v>10</v>
      </c>
      <c r="G33">
        <f>83/4</f>
        <v>20.75</v>
      </c>
      <c r="H33">
        <f>G33*E33</f>
        <v>62.25</v>
      </c>
      <c r="I33">
        <v>65</v>
      </c>
      <c r="J33">
        <v>72</v>
      </c>
      <c r="K33">
        <v>31</v>
      </c>
      <c r="L33">
        <f>K33*J33*I33*E33*0.000001</f>
        <v>0.43524</v>
      </c>
      <c r="M33" t="str">
        <v>密封条</v>
      </c>
      <c r="N33" t="str">
        <f>M33</f>
        <v>密封条</v>
      </c>
      <c r="O33" t="str">
        <v>แถบซีล/แถบกันรั่ว</v>
      </c>
      <c r="P33" t="str">
        <v>PH</v>
      </c>
      <c r="R33" t="str">
        <v>300645898925</v>
      </c>
      <c r="V33" t="str">
        <v>SEA</v>
      </c>
      <c r="W33" t="str">
        <v>YY</v>
      </c>
    </row>
    <row r="34">
      <c r="B34" t="str">
        <v>2026.6.21</v>
      </c>
      <c r="C34" t="str">
        <v>X9002635</v>
      </c>
      <c r="D34" t="str">
        <v>SPK/KTM888/SEA</v>
      </c>
      <c r="E34">
        <v>1</v>
      </c>
      <c r="F34">
        <v>10</v>
      </c>
      <c r="G34">
        <f>83/4</f>
        <v>20.75</v>
      </c>
      <c r="H34">
        <f>G34*E34</f>
        <v>20.75</v>
      </c>
      <c r="I34">
        <v>53</v>
      </c>
      <c r="J34">
        <v>50</v>
      </c>
      <c r="K34">
        <v>22</v>
      </c>
      <c r="L34">
        <f>K34*J34*I34*E34*0.000001</f>
        <v>0.0583</v>
      </c>
      <c r="M34" t="str">
        <v>密封条</v>
      </c>
      <c r="N34" t="str">
        <f>M34</f>
        <v>密封条</v>
      </c>
      <c r="O34" t="str">
        <v>แถบซีล/แถบกันรั่ว</v>
      </c>
      <c r="P34" t="str">
        <v>PH</v>
      </c>
      <c r="V34" t="str">
        <v>SEA</v>
      </c>
      <c r="W34" t="str">
        <v>YY</v>
      </c>
    </row>
    <row r="35">
      <c r="A35" t="str">
        <v>YWYY13015</v>
      </c>
      <c r="B35" t="str">
        <v>2026.6.22</v>
      </c>
      <c r="C35" t="str">
        <v>X9002636</v>
      </c>
      <c r="D35" t="str">
        <v>SPK/KTM888/SEA</v>
      </c>
      <c r="E35">
        <v>1</v>
      </c>
      <c r="F35">
        <v>1</v>
      </c>
      <c r="G35">
        <v>6</v>
      </c>
      <c r="H35">
        <f>G35*E35</f>
        <v>6</v>
      </c>
      <c r="I35">
        <v>24</v>
      </c>
      <c r="J35">
        <v>53</v>
      </c>
      <c r="K35">
        <v>29</v>
      </c>
      <c r="L35">
        <f>K35*J35*I35*E35*0.000001</f>
        <v>0.036888</v>
      </c>
      <c r="M35" t="str">
        <v>音响</v>
      </c>
      <c r="N35" t="str">
        <f>M35</f>
        <v>音响</v>
      </c>
      <c r="O35" t="str">
        <v>ลำโพง</v>
      </c>
      <c r="P35" t="str">
        <v>PH</v>
      </c>
      <c r="R35" t="str">
        <v>3167580703417</v>
      </c>
      <c r="V35" t="str">
        <v>SEA</v>
      </c>
      <c r="W35" t="str">
        <v>YY</v>
      </c>
    </row>
    <row r="36">
      <c r="A36" t="str">
        <v>YWYY13016</v>
      </c>
      <c r="B36" t="str">
        <v>2026.6.22</v>
      </c>
      <c r="C36" t="str">
        <v>X9002637</v>
      </c>
      <c r="D36" t="str">
        <v>SPW/HOYK/SEA</v>
      </c>
      <c r="E36">
        <v>1</v>
      </c>
      <c r="F36">
        <v>1</v>
      </c>
      <c r="G36">
        <v>2</v>
      </c>
      <c r="H36">
        <f>G36*E36</f>
        <v>2</v>
      </c>
      <c r="I36">
        <v>38</v>
      </c>
      <c r="J36">
        <v>50</v>
      </c>
      <c r="K36">
        <v>7</v>
      </c>
      <c r="L36">
        <f>K36*J36*I36*E36*0.000001</f>
        <v>0.0133</v>
      </c>
      <c r="M36" t="str">
        <v>马桶盖</v>
      </c>
      <c r="N36" t="str">
        <f>M36</f>
        <v>马桶盖</v>
      </c>
      <c r="O36" t="str">
        <v>ฝารองนั่งชักโครก</v>
      </c>
      <c r="P36" t="str">
        <v>PH</v>
      </c>
      <c r="R36" t="str">
        <v>7628566835843</v>
      </c>
      <c r="V36" t="str">
        <v>SEA</v>
      </c>
      <c r="W36" t="str">
        <v>YY</v>
      </c>
    </row>
    <row r="37">
      <c r="A37" t="str">
        <v>YWYY13017</v>
      </c>
      <c r="B37" t="str">
        <v>2026.6.22</v>
      </c>
      <c r="C37" t="str">
        <v>X9002638</v>
      </c>
      <c r="D37" t="str">
        <v>MG/MLIF/SEA</v>
      </c>
      <c r="E37">
        <v>1</v>
      </c>
      <c r="F37">
        <v>1</v>
      </c>
      <c r="G37">
        <v>16</v>
      </c>
      <c r="H37">
        <f>G37*E37</f>
        <v>16</v>
      </c>
      <c r="I37">
        <v>45</v>
      </c>
      <c r="J37">
        <v>55</v>
      </c>
      <c r="K37">
        <v>46</v>
      </c>
      <c r="L37">
        <f>K37*J37*I37*E37*0.000001</f>
        <v>0.11385</v>
      </c>
      <c r="M37" t="str">
        <v>护腕</v>
      </c>
      <c r="N37" t="str">
        <f>M37</f>
        <v>护腕</v>
      </c>
      <c r="O37" t="str">
        <v>อุปกรณ์พยุงข้อมือ</v>
      </c>
      <c r="P37" t="str">
        <v>PH</v>
      </c>
      <c r="R37" t="str">
        <v>500215631728</v>
      </c>
      <c r="V37" t="str">
        <v>SEA</v>
      </c>
      <c r="W37" t="str">
        <v>YY</v>
      </c>
    </row>
    <row r="38">
      <c r="A38" t="str">
        <v>YWYY13018</v>
      </c>
      <c r="B38" t="str">
        <v>2026.6.22</v>
      </c>
      <c r="C38" t="str">
        <v>X9002639</v>
      </c>
      <c r="D38" t="str">
        <v>SPK/KTM888/SEA</v>
      </c>
      <c r="E38">
        <v>1</v>
      </c>
      <c r="F38">
        <v>10</v>
      </c>
      <c r="G38">
        <v>9</v>
      </c>
      <c r="H38">
        <f>G38*E38</f>
        <v>9</v>
      </c>
      <c r="I38">
        <v>60</v>
      </c>
      <c r="J38">
        <v>51</v>
      </c>
      <c r="K38">
        <v>40</v>
      </c>
      <c r="L38">
        <f>K38*J38*I38*E38*0.000001</f>
        <v>0.1224</v>
      </c>
      <c r="M38" t="str">
        <v>捏捏乐</v>
      </c>
      <c r="N38" t="str">
        <f>M38</f>
        <v>捏捏乐</v>
      </c>
      <c r="O38" t="str">
        <v>ของเล่นบีบมือ</v>
      </c>
      <c r="P38" t="str">
        <v>PH</v>
      </c>
      <c r="R38" t="str">
        <v>773427917072886/2514003</v>
      </c>
      <c r="V38" t="str">
        <v>SEA</v>
      </c>
      <c r="W38" t="str">
        <v>YY</v>
      </c>
    </row>
    <row r="39">
      <c r="B39" t="str">
        <v>2026.6.22</v>
      </c>
      <c r="C39" t="str">
        <v>X9002639</v>
      </c>
      <c r="D39" t="str">
        <v>SPK/KTM888/SEA</v>
      </c>
      <c r="E39">
        <v>1</v>
      </c>
      <c r="F39">
        <v>10</v>
      </c>
      <c r="G39">
        <v>9</v>
      </c>
      <c r="H39">
        <f>G39*E39</f>
        <v>9</v>
      </c>
      <c r="I39">
        <v>42</v>
      </c>
      <c r="J39">
        <v>61</v>
      </c>
      <c r="K39">
        <v>38</v>
      </c>
      <c r="L39">
        <f>K39*J39*I39*E39*0.000001</f>
        <v>0.097356</v>
      </c>
      <c r="M39" t="str">
        <v>捏捏乐</v>
      </c>
      <c r="N39" t="str">
        <f>M39</f>
        <v>捏捏乐</v>
      </c>
      <c r="O39" t="str">
        <v>ของเล่นบีบมือ</v>
      </c>
      <c r="P39" t="str">
        <v>PH</v>
      </c>
      <c r="V39" t="str">
        <v>SEA</v>
      </c>
      <c r="W39" t="str">
        <v>YY</v>
      </c>
    </row>
    <row r="40">
      <c r="A40" t="str">
        <v>YWYY13019</v>
      </c>
      <c r="B40" t="str">
        <v>2026.6.22</v>
      </c>
      <c r="C40" t="str">
        <v>X9002640</v>
      </c>
      <c r="D40" t="str">
        <v>MG/ROZA/SEA</v>
      </c>
      <c r="E40">
        <v>25</v>
      </c>
      <c r="F40">
        <v>10</v>
      </c>
      <c r="G40">
        <v>19</v>
      </c>
      <c r="H40">
        <f>G40*E40</f>
        <v>475</v>
      </c>
      <c r="I40">
        <v>63</v>
      </c>
      <c r="J40">
        <v>13</v>
      </c>
      <c r="K40">
        <v>94</v>
      </c>
      <c r="L40">
        <f>K40*J40*I40*E40*0.000001</f>
        <v>1.92465</v>
      </c>
      <c r="M40" t="str">
        <v>电视支架</v>
      </c>
      <c r="N40" t="str">
        <f>M40</f>
        <v>电视支架</v>
      </c>
      <c r="O40" t="str">
        <v>ขายึดทีวี</v>
      </c>
      <c r="P40" t="str">
        <v>PH</v>
      </c>
      <c r="R40" t="str">
        <v>00017015098</v>
      </c>
      <c r="V40" t="str">
        <v>SEA</v>
      </c>
      <c r="W40" t="str">
        <v>YY</v>
      </c>
    </row>
    <row r="41">
      <c r="B41" t="str">
        <v>2026.6.22</v>
      </c>
      <c r="C41" t="str">
        <v>X9002640</v>
      </c>
      <c r="D41" t="str">
        <v>MG/ROZA/SEA</v>
      </c>
      <c r="E41">
        <v>3</v>
      </c>
      <c r="F41">
        <v>10</v>
      </c>
      <c r="G41">
        <v>19</v>
      </c>
      <c r="H41">
        <f>G41*E41</f>
        <v>57</v>
      </c>
      <c r="I41">
        <v>42</v>
      </c>
      <c r="J41">
        <v>35</v>
      </c>
      <c r="K41">
        <v>27</v>
      </c>
      <c r="L41">
        <f>K41*J41*I41*E41*0.000001</f>
        <v>0.11907</v>
      </c>
      <c r="M41" t="str">
        <v>电视支架</v>
      </c>
      <c r="N41" t="str">
        <f>M41</f>
        <v>电视支架</v>
      </c>
      <c r="O41" t="str">
        <v>ขายึดทีวี</v>
      </c>
      <c r="P41" t="str">
        <v>PH</v>
      </c>
      <c r="V41" t="str">
        <v>SEA</v>
      </c>
      <c r="W41" t="str">
        <v>YY</v>
      </c>
    </row>
    <row r="42">
      <c r="A42" t="str">
        <v>YWYY13020</v>
      </c>
      <c r="B42" t="str">
        <v>2026.6.22</v>
      </c>
      <c r="C42" t="str">
        <v>X9002641</v>
      </c>
      <c r="D42" t="str">
        <v>SPK/4K/SEA</v>
      </c>
      <c r="E42">
        <v>9</v>
      </c>
      <c r="F42">
        <v>10</v>
      </c>
      <c r="G42">
        <v>23</v>
      </c>
      <c r="H42">
        <f>G42*E42</f>
        <v>207</v>
      </c>
      <c r="I42">
        <v>60</v>
      </c>
      <c r="J42">
        <v>44</v>
      </c>
      <c r="K42">
        <v>67</v>
      </c>
      <c r="L42">
        <f>K42*J42*I42*E42*0.000001</f>
        <v>1.59192</v>
      </c>
      <c r="M42" t="str">
        <v>摄像头</v>
      </c>
      <c r="N42" t="str">
        <f>M42</f>
        <v>摄像头</v>
      </c>
      <c r="O42" t="str">
        <v>กล้อง</v>
      </c>
      <c r="P42" t="str">
        <v>PH</v>
      </c>
      <c r="V42" t="str">
        <v>SEA</v>
      </c>
      <c r="W42" t="str">
        <v>YY</v>
      </c>
    </row>
    <row r="43">
      <c r="B43" t="str">
        <v>2026.6.22</v>
      </c>
      <c r="C43" t="str">
        <v>X9002641</v>
      </c>
      <c r="D43" t="str">
        <v>SPK/4K/SEA</v>
      </c>
      <c r="E43">
        <v>1</v>
      </c>
      <c r="F43">
        <v>10</v>
      </c>
      <c r="G43">
        <v>23</v>
      </c>
      <c r="H43">
        <f>G43*E43</f>
        <v>23</v>
      </c>
      <c r="I43">
        <v>43</v>
      </c>
      <c r="J43">
        <v>49</v>
      </c>
      <c r="K43">
        <v>67</v>
      </c>
      <c r="L43">
        <f>K43*J43*I43*E43*0.000001</f>
        <v>0.141169</v>
      </c>
      <c r="M43" t="str">
        <v>摄像头</v>
      </c>
      <c r="N43" t="str">
        <f>M43</f>
        <v>摄像头</v>
      </c>
      <c r="O43" t="str">
        <v>กล้อง</v>
      </c>
      <c r="P43" t="str">
        <v>PH</v>
      </c>
      <c r="V43" t="str">
        <v>SEA</v>
      </c>
      <c r="W43" t="str">
        <v>YY</v>
      </c>
    </row>
    <row r="44">
      <c r="B44" t="str">
        <v>2026.6.22</v>
      </c>
      <c r="C44" t="str">
        <v>X9002641</v>
      </c>
      <c r="D44" t="str">
        <v>SPK/4K/SEA</v>
      </c>
      <c r="E44">
        <v>1</v>
      </c>
      <c r="F44">
        <v>10</v>
      </c>
      <c r="G44">
        <v>24</v>
      </c>
      <c r="H44">
        <f>G44*E44</f>
        <v>24</v>
      </c>
      <c r="I44">
        <v>60</v>
      </c>
      <c r="J44">
        <v>44</v>
      </c>
      <c r="K44">
        <v>70</v>
      </c>
      <c r="L44">
        <f>K44*J44*I44*E44*0.000001</f>
        <v>0.1848</v>
      </c>
      <c r="M44" t="str">
        <v>摄像头</v>
      </c>
      <c r="N44" t="str">
        <f>M44</f>
        <v>摄像头</v>
      </c>
      <c r="O44" t="str">
        <v>กล้อง</v>
      </c>
      <c r="P44" t="str">
        <v>PH</v>
      </c>
      <c r="V44" t="str">
        <v>SEA</v>
      </c>
      <c r="W44" t="str">
        <v>YY</v>
      </c>
    </row>
    <row r="45">
      <c r="A45" t="str">
        <v>YWYY13023</v>
      </c>
      <c r="B45" t="str">
        <v>2026.6.23</v>
      </c>
      <c r="C45" t="str">
        <v>X9002644</v>
      </c>
      <c r="D45" t="str">
        <v>SPK/KTM888/SEA</v>
      </c>
      <c r="E45">
        <v>7</v>
      </c>
      <c r="F45">
        <v>10</v>
      </c>
      <c r="G45">
        <f>119/7</f>
        <v>17</v>
      </c>
      <c r="H45">
        <f>G45*E45</f>
        <v>119</v>
      </c>
      <c r="I45">
        <v>69</v>
      </c>
      <c r="J45">
        <v>30</v>
      </c>
      <c r="K45">
        <v>84</v>
      </c>
      <c r="L45">
        <f>K45*J45*I45*E45*0.000001</f>
        <v>1.21716</v>
      </c>
      <c r="M45" t="str">
        <v>风机</v>
      </c>
      <c r="N45" t="str">
        <f>M45</f>
        <v>风机</v>
      </c>
      <c r="O45" t="str">
        <v>พัดลมเป่าลม</v>
      </c>
      <c r="P45" t="str">
        <v>PH</v>
      </c>
      <c r="R45" t="str">
        <v>760233782449/778543/781700/776597/781309/781494/783401</v>
      </c>
      <c r="V45" t="str">
        <v>SEA</v>
      </c>
      <c r="W45" t="str">
        <v>YY</v>
      </c>
    </row>
    <row r="46">
      <c r="A46" t="str">
        <v>YWYY13024</v>
      </c>
      <c r="B46" t="str">
        <v>2026.6.23</v>
      </c>
      <c r="C46" t="str">
        <v>X9002645</v>
      </c>
      <c r="D46" t="str">
        <v>SPK/KTM888/SEA</v>
      </c>
      <c r="E46">
        <v>2</v>
      </c>
      <c r="F46">
        <v>10</v>
      </c>
      <c r="G46">
        <v>18</v>
      </c>
      <c r="H46">
        <f>G46*E46</f>
        <v>36</v>
      </c>
      <c r="I46">
        <v>45</v>
      </c>
      <c r="J46">
        <v>60</v>
      </c>
      <c r="K46">
        <v>36</v>
      </c>
      <c r="L46">
        <f>K46*J46*I46*E46*0.000001</f>
        <v>0.1944</v>
      </c>
      <c r="M46" t="str">
        <v>音响</v>
      </c>
      <c r="N46" t="str">
        <f>M46</f>
        <v>音响</v>
      </c>
      <c r="O46" t="str">
        <v>ลำโพง</v>
      </c>
      <c r="P46" t="str">
        <v>JY</v>
      </c>
      <c r="R46" t="str">
        <v>750170944255</v>
      </c>
      <c r="V46" t="str">
        <v>SEA</v>
      </c>
      <c r="W46" t="str">
        <v>YY</v>
      </c>
    </row>
    <row r="47">
      <c r="A47" t="str">
        <v>YWYY13025</v>
      </c>
      <c r="B47" t="str">
        <v>2026.6.23</v>
      </c>
      <c r="C47" t="str">
        <v>X9002646</v>
      </c>
      <c r="D47" t="str">
        <v>MG/ROZA/SEA</v>
      </c>
      <c r="E47">
        <v>4</v>
      </c>
      <c r="F47">
        <v>10</v>
      </c>
      <c r="G47">
        <v>15.4</v>
      </c>
      <c r="H47">
        <f>G47*E47</f>
        <v>61.6</v>
      </c>
      <c r="I47">
        <v>46</v>
      </c>
      <c r="J47">
        <v>32</v>
      </c>
      <c r="K47">
        <v>18</v>
      </c>
      <c r="L47">
        <f>K47*J47*I47*E47*0.000001</f>
        <v>0.105984</v>
      </c>
      <c r="M47" t="str">
        <v>电视支架</v>
      </c>
      <c r="N47" t="str">
        <f>M47</f>
        <v>电视支架</v>
      </c>
      <c r="O47" t="str">
        <v>ขายึดทีวี</v>
      </c>
      <c r="P47" t="str">
        <v>PH</v>
      </c>
      <c r="V47" t="str">
        <v>SEA</v>
      </c>
      <c r="W47" t="str">
        <v>YY</v>
      </c>
    </row>
    <row r="48">
      <c r="B48" t="str">
        <v>2026.6.23</v>
      </c>
      <c r="C48" t="str">
        <v>X9002646</v>
      </c>
      <c r="D48" t="str">
        <v>MG/ROZA/SEA</v>
      </c>
      <c r="E48">
        <v>3</v>
      </c>
      <c r="F48">
        <v>10</v>
      </c>
      <c r="G48">
        <v>15.4</v>
      </c>
      <c r="H48">
        <f>G48*E48</f>
        <v>46.2</v>
      </c>
      <c r="I48">
        <v>46</v>
      </c>
      <c r="J48">
        <v>30</v>
      </c>
      <c r="K48">
        <v>23</v>
      </c>
      <c r="L48">
        <f>K48*J48*I48*E48*0.000001</f>
        <v>0.09522</v>
      </c>
      <c r="M48" t="str">
        <v>电视支架</v>
      </c>
      <c r="N48" t="str">
        <f>M48</f>
        <v>电视支架</v>
      </c>
      <c r="O48" t="str">
        <v>ขายึดทีวี</v>
      </c>
      <c r="P48" t="str">
        <v>PH</v>
      </c>
      <c r="V48" t="str">
        <v>SEA</v>
      </c>
      <c r="W48" t="str">
        <v>YY</v>
      </c>
    </row>
    <row r="49">
      <c r="A49" t="str">
        <v>YWYY13026</v>
      </c>
      <c r="B49" t="str">
        <v>2026.6.23</v>
      </c>
      <c r="C49" t="str">
        <v>X9002648</v>
      </c>
      <c r="D49" t="str">
        <v>MG/WSIM/SEA</v>
      </c>
      <c r="E49">
        <v>8</v>
      </c>
      <c r="F49">
        <v>10</v>
      </c>
      <c r="G49">
        <f>1080/16</f>
        <v>67.5</v>
      </c>
      <c r="H49">
        <f>G49*E49</f>
        <v>540</v>
      </c>
      <c r="I49">
        <v>65</v>
      </c>
      <c r="J49">
        <v>81</v>
      </c>
      <c r="K49">
        <v>67</v>
      </c>
      <c r="L49">
        <f>K49*J49*I49*E49*0.000001</f>
        <v>2.82204</v>
      </c>
      <c r="M49" t="str">
        <v>短裤</v>
      </c>
      <c r="N49" t="str">
        <f>M49</f>
        <v>短裤</v>
      </c>
      <c r="O49" t="str">
        <v>กางเกงขาสั้น</v>
      </c>
      <c r="P49" t="str">
        <v>PH</v>
      </c>
      <c r="V49" t="str">
        <v>SEA</v>
      </c>
      <c r="W49" t="str">
        <v>YY</v>
      </c>
    </row>
    <row r="50">
      <c r="B50" t="str">
        <v>2026.6.23</v>
      </c>
      <c r="C50" t="str">
        <v>X9002648</v>
      </c>
      <c r="D50" t="str">
        <v>MG/WSIM/SEA</v>
      </c>
      <c r="E50">
        <v>8</v>
      </c>
      <c r="F50">
        <v>10</v>
      </c>
      <c r="G50">
        <f>1080/16</f>
        <v>67.5</v>
      </c>
      <c r="H50">
        <f>G50*E50</f>
        <v>540</v>
      </c>
      <c r="I50">
        <v>85</v>
      </c>
      <c r="J50">
        <v>52</v>
      </c>
      <c r="K50">
        <v>96</v>
      </c>
      <c r="L50">
        <f>K50*J50*I50*E50*0.000001</f>
        <v>3.39456</v>
      </c>
      <c r="M50" t="str">
        <v>短裤</v>
      </c>
      <c r="N50" t="str">
        <f>M50</f>
        <v>短裤</v>
      </c>
      <c r="O50" t="str">
        <v>กางเกงขาสั้น</v>
      </c>
      <c r="P50" t="str">
        <v>PH</v>
      </c>
      <c r="V50" t="str">
        <v>SEA</v>
      </c>
      <c r="W50" t="str">
        <v>YY</v>
      </c>
    </row>
    <row r="51">
      <c r="A51" t="str">
        <v>YWYY13027</v>
      </c>
      <c r="B51" t="str">
        <v>2026.6.23</v>
      </c>
      <c r="C51" t="str">
        <v>X9002649</v>
      </c>
      <c r="D51" t="str">
        <v>MG/CCPET/SEA</v>
      </c>
      <c r="E51">
        <v>3</v>
      </c>
      <c r="F51">
        <v>1</v>
      </c>
      <c r="G51">
        <f>48/3</f>
        <v>16</v>
      </c>
      <c r="H51">
        <f>G51*E51</f>
        <v>48</v>
      </c>
      <c r="I51">
        <v>47</v>
      </c>
      <c r="J51">
        <v>63</v>
      </c>
      <c r="K51">
        <v>39</v>
      </c>
      <c r="L51">
        <f>K51*J51*I51*E51*0.000001</f>
        <v>0.346437</v>
      </c>
      <c r="M51" t="str">
        <v>手套</v>
      </c>
      <c r="N51" t="str">
        <f>M51</f>
        <v>手套</v>
      </c>
      <c r="O51" t="str">
        <v>ถุงมือ</v>
      </c>
      <c r="P51" t="str">
        <v>PH</v>
      </c>
      <c r="V51" t="str">
        <v>SEA</v>
      </c>
      <c r="W51" t="str">
        <v>YY</v>
      </c>
    </row>
    <row r="52">
      <c r="A52" t="str">
        <v>YWYY13028</v>
      </c>
      <c r="B52" t="str">
        <v>2026.6.23</v>
      </c>
      <c r="C52" t="str">
        <v>X9002650</v>
      </c>
      <c r="D52" t="str">
        <v>SPK/KTM888/SEA</v>
      </c>
      <c r="E52">
        <v>1</v>
      </c>
      <c r="F52">
        <v>1</v>
      </c>
      <c r="G52">
        <v>9</v>
      </c>
      <c r="H52">
        <f>G52*E52</f>
        <v>9</v>
      </c>
      <c r="I52">
        <v>25</v>
      </c>
      <c r="J52">
        <v>21</v>
      </c>
      <c r="K52">
        <v>127</v>
      </c>
      <c r="L52">
        <f>K52*J52*I52*E52*0.000001</f>
        <v>0.066675</v>
      </c>
      <c r="M52" t="str">
        <v>风幕机</v>
      </c>
      <c r="N52" t="str">
        <f>M52</f>
        <v>风幕机</v>
      </c>
      <c r="O52" t="str">
        <v>ม่านอากาศ</v>
      </c>
      <c r="P52" t="str">
        <v>PH</v>
      </c>
      <c r="R52" t="str">
        <v>800204852723</v>
      </c>
      <c r="V52" t="str">
        <v>SEA</v>
      </c>
      <c r="W52" t="str">
        <v>YY</v>
      </c>
    </row>
    <row r="53">
      <c r="A53" t="str">
        <v>YWYY13029</v>
      </c>
      <c r="B53" t="str">
        <v>2026.6.23</v>
      </c>
      <c r="C53" t="str">
        <v>X9002651</v>
      </c>
      <c r="D53" t="str">
        <v>SPK/YB/SEA</v>
      </c>
      <c r="E53">
        <v>1</v>
      </c>
      <c r="F53">
        <v>1</v>
      </c>
      <c r="G53">
        <v>2.7</v>
      </c>
      <c r="H53">
        <f>G53*E53</f>
        <v>2.7</v>
      </c>
      <c r="I53">
        <v>81</v>
      </c>
      <c r="J53">
        <v>56</v>
      </c>
      <c r="K53">
        <v>6</v>
      </c>
      <c r="L53">
        <f>K53*J53*I53*E53*0.000001</f>
        <v>0.027216</v>
      </c>
      <c r="M53" t="str">
        <v>脚垫</v>
      </c>
      <c r="N53" t="str">
        <f>M53</f>
        <v>脚垫</v>
      </c>
      <c r="O53" t="str">
        <v>พรมปูพื้น</v>
      </c>
      <c r="P53" t="str">
        <v>PH</v>
      </c>
      <c r="R53" t="str">
        <v>79013744418734</v>
      </c>
      <c r="V53" t="str">
        <v>SEA</v>
      </c>
      <c r="W53" t="str">
        <v>YY</v>
      </c>
    </row>
    <row r="54">
      <c r="A54" t="str">
        <v>YWYY13030</v>
      </c>
      <c r="B54" t="str">
        <v>2026.6.23</v>
      </c>
      <c r="C54" t="str">
        <v>X9002647</v>
      </c>
      <c r="D54" t="str">
        <v>MG/TOOL/SEA</v>
      </c>
      <c r="E54">
        <v>30</v>
      </c>
      <c r="F54">
        <v>100</v>
      </c>
      <c r="G54">
        <v>19.5</v>
      </c>
      <c r="H54">
        <f>G54*E54</f>
        <v>585</v>
      </c>
      <c r="I54">
        <v>45</v>
      </c>
      <c r="J54">
        <v>31</v>
      </c>
      <c r="K54">
        <v>54</v>
      </c>
      <c r="L54">
        <f>K54*J54*I54*E54*0.000001</f>
        <v>2.2599</v>
      </c>
      <c r="M54" t="str">
        <v>手电钻</v>
      </c>
      <c r="N54" t="str">
        <f>M54</f>
        <v>手电钻</v>
      </c>
      <c r="O54" t="str">
        <v>สว่านไฟฟ้า</v>
      </c>
      <c r="P54" t="str">
        <v>PH</v>
      </c>
      <c r="R54" t="str">
        <v>710089462485</v>
      </c>
      <c r="V54" t="str">
        <v>SEA</v>
      </c>
      <c r="W54" t="str">
        <v>YY</v>
      </c>
    </row>
    <row r="55">
      <c r="B55" t="str">
        <v>2026.6.23</v>
      </c>
      <c r="C55" t="str">
        <v>X9002647</v>
      </c>
      <c r="D55" t="str">
        <v>MG/TOOL/SEA</v>
      </c>
      <c r="E55">
        <v>1</v>
      </c>
      <c r="F55">
        <v>100</v>
      </c>
      <c r="G55">
        <v>19.5</v>
      </c>
      <c r="H55">
        <f>G55*E55</f>
        <v>19.5</v>
      </c>
      <c r="I55">
        <v>22</v>
      </c>
      <c r="J55">
        <v>36</v>
      </c>
      <c r="K55">
        <v>15</v>
      </c>
      <c r="L55">
        <f>K55*J55*I55*E55*0.000001</f>
        <v>0.01188</v>
      </c>
      <c r="M55" t="str">
        <v>手电钻</v>
      </c>
      <c r="N55" t="str">
        <f>M55</f>
        <v>手电钻</v>
      </c>
      <c r="O55" t="str">
        <v>สว่านไฟฟ้า</v>
      </c>
      <c r="P55" t="str">
        <v>PH</v>
      </c>
      <c r="V55" t="str">
        <v>SEA</v>
      </c>
      <c r="W55" t="str">
        <v>YY</v>
      </c>
    </row>
    <row r="56">
      <c r="A56" t="str">
        <v>YWYY13031</v>
      </c>
      <c r="B56" t="str">
        <v>2026.6.23</v>
      </c>
      <c r="C56" t="str">
        <v>X9002652</v>
      </c>
      <c r="D56" t="str">
        <v>MG/TOOL/SEA</v>
      </c>
      <c r="E56">
        <v>50</v>
      </c>
      <c r="F56">
        <v>10</v>
      </c>
      <c r="G56">
        <v>13</v>
      </c>
      <c r="H56">
        <f>G56*E56</f>
        <v>650</v>
      </c>
      <c r="I56">
        <v>28</v>
      </c>
      <c r="J56">
        <v>40</v>
      </c>
      <c r="K56">
        <v>36</v>
      </c>
      <c r="L56">
        <f>K56*J56*I56*E56*0.000001</f>
        <v>2.016</v>
      </c>
      <c r="M56" t="str">
        <v>水泵</v>
      </c>
      <c r="N56" t="str">
        <f>M56</f>
        <v>水泵</v>
      </c>
      <c r="O56" t="str">
        <v>ปั๊มน้ำ</v>
      </c>
      <c r="P56" t="str">
        <v>PH</v>
      </c>
      <c r="R56" t="str">
        <v>000170619320061</v>
      </c>
      <c r="V56" t="str">
        <v>SEA</v>
      </c>
      <c r="W56" t="str">
        <v>YY</v>
      </c>
    </row>
    <row r="57">
      <c r="B57" t="str">
        <v>2026.6.23</v>
      </c>
      <c r="C57" t="str">
        <v>X9002652</v>
      </c>
      <c r="D57" t="str">
        <v>MG/TOOL/SEA</v>
      </c>
      <c r="E57">
        <v>65</v>
      </c>
      <c r="F57">
        <v>10</v>
      </c>
      <c r="G57">
        <v>13</v>
      </c>
      <c r="H57">
        <f>G57*E57</f>
        <v>845</v>
      </c>
      <c r="I57">
        <v>37</v>
      </c>
      <c r="J57">
        <v>36</v>
      </c>
      <c r="K57">
        <v>27</v>
      </c>
      <c r="L57">
        <f>K57*J57*I57*E57*0.000001</f>
        <v>2.33766</v>
      </c>
      <c r="M57" t="str">
        <v>水泵</v>
      </c>
      <c r="N57" t="str">
        <f>M57</f>
        <v>水泵</v>
      </c>
      <c r="O57" t="str">
        <v>ปั๊มน้ำ</v>
      </c>
      <c r="P57" t="str">
        <v>PH</v>
      </c>
      <c r="V57" t="str">
        <v>SEA</v>
      </c>
      <c r="W57" t="str">
        <v>YY</v>
      </c>
    </row>
    <row r="58">
      <c r="A58" t="str">
        <v>YWYY13032</v>
      </c>
      <c r="B58" t="str">
        <v>2026.6.23</v>
      </c>
      <c r="C58" t="str">
        <v>X9002653</v>
      </c>
      <c r="D58" t="str">
        <v>PR172/SEA</v>
      </c>
      <c r="E58">
        <v>5</v>
      </c>
      <c r="F58">
        <v>10</v>
      </c>
      <c r="G58">
        <v>9</v>
      </c>
      <c r="H58">
        <f>G58*E58</f>
        <v>45</v>
      </c>
      <c r="I58">
        <v>67</v>
      </c>
      <c r="J58">
        <v>51</v>
      </c>
      <c r="K58">
        <v>75</v>
      </c>
      <c r="L58">
        <f>K58*J58*I58*E58*0.000001</f>
        <v>1.281375</v>
      </c>
      <c r="M58" t="str">
        <v>百洁布</v>
      </c>
      <c r="N58" t="str">
        <f>M58</f>
        <v>百洁布</v>
      </c>
      <c r="O58" t="str">
        <v>แผ่นใยขัด</v>
      </c>
      <c r="P58" t="str">
        <v>PH</v>
      </c>
      <c r="V58" t="str">
        <v>SEA</v>
      </c>
      <c r="W58" t="str">
        <v>YY</v>
      </c>
    </row>
    <row r="59">
      <c r="B59" t="str">
        <v>2026.6.23</v>
      </c>
      <c r="C59" t="str">
        <v>X9002653</v>
      </c>
      <c r="D59" t="str">
        <v>PR172/SEA</v>
      </c>
      <c r="E59">
        <v>4</v>
      </c>
      <c r="F59">
        <v>10</v>
      </c>
      <c r="G59">
        <v>9</v>
      </c>
      <c r="H59">
        <f>G59*E59</f>
        <v>36</v>
      </c>
      <c r="I59">
        <v>50</v>
      </c>
      <c r="J59">
        <v>70</v>
      </c>
      <c r="K59">
        <v>55</v>
      </c>
      <c r="L59">
        <f>K59*J59*I59*E59*0.000001</f>
        <v>0.77</v>
      </c>
      <c r="M59" t="str">
        <v>百洁布</v>
      </c>
      <c r="N59" t="str">
        <f>M59</f>
        <v>百洁布</v>
      </c>
      <c r="O59" t="str">
        <v>แผ่นใยขัด</v>
      </c>
      <c r="P59" t="str">
        <v>PH</v>
      </c>
      <c r="V59" t="str">
        <v>SEA</v>
      </c>
      <c r="W59" t="str">
        <v>YY</v>
      </c>
    </row>
    <row r="60">
      <c r="B60" t="str">
        <v>2026.6.23</v>
      </c>
      <c r="C60" t="str">
        <v>X9002653</v>
      </c>
      <c r="D60" t="str">
        <v>PR172/SEA</v>
      </c>
      <c r="E60">
        <v>19</v>
      </c>
      <c r="F60">
        <v>10</v>
      </c>
      <c r="G60">
        <v>9</v>
      </c>
      <c r="H60">
        <f>G60*E60</f>
        <v>171</v>
      </c>
      <c r="I60">
        <v>47</v>
      </c>
      <c r="J60">
        <v>62</v>
      </c>
      <c r="K60">
        <v>62</v>
      </c>
      <c r="L60">
        <f>K60*J60*I60*E60*0.000001</f>
        <v>3.432692</v>
      </c>
      <c r="M60" t="str">
        <v>百洁布</v>
      </c>
      <c r="N60" t="str">
        <f>M60</f>
        <v>百洁布</v>
      </c>
      <c r="O60" t="str">
        <v>แผ่นใยขัด</v>
      </c>
      <c r="P60" t="str">
        <v>PH</v>
      </c>
      <c r="V60" t="str">
        <v>SEA</v>
      </c>
      <c r="W60" t="str">
        <v>YY</v>
      </c>
    </row>
    <row r="61">
      <c r="B61" t="str">
        <v>2026.6.23</v>
      </c>
      <c r="C61" t="str">
        <v>X9002653</v>
      </c>
      <c r="D61" t="str">
        <v>PR172/SEA</v>
      </c>
      <c r="E61">
        <v>1</v>
      </c>
      <c r="F61">
        <v>10</v>
      </c>
      <c r="G61">
        <v>9</v>
      </c>
      <c r="H61">
        <f>G61*E61</f>
        <v>9</v>
      </c>
      <c r="I61">
        <v>32</v>
      </c>
      <c r="J61">
        <v>57</v>
      </c>
      <c r="K61">
        <v>41</v>
      </c>
      <c r="L61">
        <f>K61*J61*I61*E61*0.000001</f>
        <v>0.074784</v>
      </c>
      <c r="M61" t="str">
        <v>百洁布</v>
      </c>
      <c r="N61" t="str">
        <f>M61</f>
        <v>百洁布</v>
      </c>
      <c r="O61" t="str">
        <v>แผ่นใยขัด</v>
      </c>
      <c r="P61" t="str">
        <v>PH</v>
      </c>
      <c r="V61" t="str">
        <v>SEA</v>
      </c>
      <c r="W61" t="str">
        <v>YY</v>
      </c>
    </row>
    <row r="62">
      <c r="A62" t="str">
        <v>YWYY13033</v>
      </c>
      <c r="B62" t="str">
        <v>2026.6.24</v>
      </c>
      <c r="C62" t="str">
        <v>X9002655</v>
      </c>
      <c r="D62" t="str">
        <v>SPK/KTM888/SEA</v>
      </c>
      <c r="E62">
        <v>1</v>
      </c>
      <c r="F62">
        <v>1</v>
      </c>
      <c r="G62">
        <v>1</v>
      </c>
      <c r="H62">
        <f>G62*E62</f>
        <v>1</v>
      </c>
      <c r="I62">
        <v>22</v>
      </c>
      <c r="J62">
        <v>15</v>
      </c>
      <c r="K62">
        <v>8</v>
      </c>
      <c r="L62">
        <f>K62*J62*I62*E62*0.000001</f>
        <v>0.00264</v>
      </c>
      <c r="M62" t="str">
        <v>手机</v>
      </c>
      <c r="N62" t="str">
        <f>M62</f>
        <v>手机</v>
      </c>
      <c r="O62" t="str">
        <v>โทรศัพท์มือถือ</v>
      </c>
      <c r="P62" t="str">
        <v>PH</v>
      </c>
      <c r="R62" t="str">
        <v>7628867471393</v>
      </c>
      <c r="V62" t="str">
        <v>SEA</v>
      </c>
      <c r="W62" t="str">
        <v>YY</v>
      </c>
    </row>
    <row r="63">
      <c r="A63" t="str">
        <v>YWYY13034</v>
      </c>
      <c r="B63" t="str">
        <v>2026.6.24</v>
      </c>
      <c r="C63" t="str">
        <v>X9002656</v>
      </c>
      <c r="D63" t="str">
        <v>SPK/KTM888/SEA</v>
      </c>
      <c r="E63">
        <v>1</v>
      </c>
      <c r="F63">
        <v>1</v>
      </c>
      <c r="G63">
        <v>8.8</v>
      </c>
      <c r="H63">
        <f>G63*E63</f>
        <v>8.8</v>
      </c>
      <c r="I63">
        <v>52</v>
      </c>
      <c r="J63">
        <v>46</v>
      </c>
      <c r="K63">
        <v>18</v>
      </c>
      <c r="L63">
        <f>K63*J63*I63*E63*0.000001</f>
        <v>0.043056</v>
      </c>
      <c r="M63" t="str">
        <v>功放机</v>
      </c>
      <c r="N63" t="str">
        <f>M63</f>
        <v>功放机</v>
      </c>
      <c r="O63" t="str">
        <v>เครื่องขยายเสียง (แอมพลิฟายเออร์)</v>
      </c>
      <c r="P63" t="str">
        <v>PH</v>
      </c>
      <c r="R63" t="str">
        <v>7628930146315</v>
      </c>
      <c r="V63" t="str">
        <v>SEA</v>
      </c>
      <c r="W63" t="str">
        <v>YY</v>
      </c>
    </row>
    <row r="64">
      <c r="A64" t="str">
        <v>YWYY13035</v>
      </c>
      <c r="B64" t="str">
        <v>2026.6.24</v>
      </c>
      <c r="C64" t="str">
        <v>X9002657</v>
      </c>
      <c r="D64" t="str">
        <v>SPK/KTM888/SEA</v>
      </c>
      <c r="E64">
        <v>1</v>
      </c>
      <c r="F64">
        <v>1</v>
      </c>
      <c r="G64">
        <v>15</v>
      </c>
      <c r="H64">
        <f>G64*E64</f>
        <v>15</v>
      </c>
      <c r="I64">
        <v>29</v>
      </c>
      <c r="J64">
        <v>36</v>
      </c>
      <c r="K64">
        <v>17</v>
      </c>
      <c r="L64">
        <f>K64*J64*I64*E64*0.000001</f>
        <v>0.017748</v>
      </c>
      <c r="M64" t="str">
        <v>放大镜</v>
      </c>
      <c r="N64" t="str">
        <f>M64</f>
        <v>放大镜</v>
      </c>
      <c r="O64" t="str">
        <v>แว่นขยาย</v>
      </c>
      <c r="P64" t="str">
        <v>PH</v>
      </c>
      <c r="R64" t="str">
        <v>3021459191470002</v>
      </c>
      <c r="V64" t="str">
        <v>SEA</v>
      </c>
      <c r="W64" t="str">
        <v>YY</v>
      </c>
    </row>
    <row r="65">
      <c r="B65" t="str">
        <v>2026.6.24</v>
      </c>
      <c r="C65" t="str">
        <v>X9002657</v>
      </c>
      <c r="D65" t="str">
        <v>SPK/KTM888/SEA</v>
      </c>
      <c r="E65">
        <v>1</v>
      </c>
      <c r="F65">
        <v>1</v>
      </c>
      <c r="G65">
        <v>15</v>
      </c>
      <c r="H65">
        <f>G65*E65</f>
        <v>15</v>
      </c>
      <c r="I65">
        <v>31</v>
      </c>
      <c r="J65">
        <v>40</v>
      </c>
      <c r="K65">
        <v>29</v>
      </c>
      <c r="L65">
        <f>K65*J65*I65*E65*0.000001</f>
        <v>0.03596</v>
      </c>
      <c r="M65" t="str">
        <v>放大镜</v>
      </c>
      <c r="N65" t="str">
        <f>M65</f>
        <v>放大镜</v>
      </c>
      <c r="O65" t="str">
        <v>แว่นขยาย</v>
      </c>
      <c r="P65" t="str">
        <v>PH</v>
      </c>
      <c r="V65" t="str">
        <v>SEA</v>
      </c>
      <c r="W65" t="str">
        <v>YY</v>
      </c>
    </row>
    <row r="66">
      <c r="A66" t="str">
        <v>YWYY13036</v>
      </c>
      <c r="B66" t="str">
        <v>2026.6.24</v>
      </c>
      <c r="C66" t="str">
        <v>X9002654</v>
      </c>
      <c r="D66" t="str">
        <v>MG/CCPET/SEA</v>
      </c>
      <c r="E66">
        <v>3</v>
      </c>
      <c r="F66">
        <v>10</v>
      </c>
      <c r="G66">
        <v>10</v>
      </c>
      <c r="H66">
        <f>G66*E66</f>
        <v>30</v>
      </c>
      <c r="I66">
        <v>35</v>
      </c>
      <c r="J66">
        <v>43</v>
      </c>
      <c r="K66">
        <v>59</v>
      </c>
      <c r="L66">
        <f>K66*J66*I66*E66*0.000001</f>
        <v>0.266385</v>
      </c>
      <c r="M66" t="str">
        <v>粘毛器</v>
      </c>
      <c r="N66" t="str">
        <f>M66</f>
        <v>粘毛器</v>
      </c>
      <c r="O66" t="str">
        <v>ลูกกลิ้งกำจัดขน/ฝุ่น</v>
      </c>
      <c r="P66" t="str">
        <v>PH</v>
      </c>
      <c r="V66" t="str">
        <v>SEA</v>
      </c>
      <c r="W66" t="str">
        <v>YY</v>
      </c>
    </row>
    <row r="67">
      <c r="B67" t="str">
        <v>2026.6.24</v>
      </c>
      <c r="C67" t="str">
        <v>X9002654</v>
      </c>
      <c r="D67" t="str">
        <v>MG/CCPET/SEA</v>
      </c>
      <c r="E67">
        <v>4</v>
      </c>
      <c r="F67">
        <v>10</v>
      </c>
      <c r="G67">
        <v>10</v>
      </c>
      <c r="H67">
        <f>G67*E67</f>
        <v>40</v>
      </c>
      <c r="I67">
        <v>46</v>
      </c>
      <c r="J67">
        <v>49</v>
      </c>
      <c r="K67">
        <v>42</v>
      </c>
      <c r="L67">
        <f>K67*J67*I67*E67*0.000001</f>
        <v>0.378672</v>
      </c>
      <c r="M67" t="str">
        <v>粘毛器</v>
      </c>
      <c r="N67" t="str">
        <f>M67</f>
        <v>粘毛器</v>
      </c>
      <c r="O67" t="str">
        <v>ลูกกลิ้งกำจัดขน/ฝุ่น</v>
      </c>
      <c r="P67" t="str">
        <v>PH</v>
      </c>
      <c r="V67" t="str">
        <v>SEA</v>
      </c>
      <c r="W67" t="str">
        <v>YY</v>
      </c>
    </row>
    <row r="68">
      <c r="A68" t="str">
        <v>YWYY13037</v>
      </c>
      <c r="B68" t="str">
        <v>2026.6.25</v>
      </c>
      <c r="C68" t="str">
        <v>X9002659</v>
      </c>
      <c r="D68" t="str">
        <v>SPK/SPC/SEA</v>
      </c>
      <c r="E68">
        <v>30</v>
      </c>
      <c r="F68">
        <v>1</v>
      </c>
      <c r="G68">
        <v>14</v>
      </c>
      <c r="H68">
        <f>G68*E68</f>
        <v>420</v>
      </c>
      <c r="I68">
        <v>28</v>
      </c>
      <c r="J68">
        <v>49</v>
      </c>
      <c r="K68">
        <v>20</v>
      </c>
      <c r="L68">
        <f>K68*J68*I68*E68*0.000001</f>
        <v>0.8232</v>
      </c>
      <c r="M68" t="str">
        <v>苍蝇贴</v>
      </c>
      <c r="N68" t="str">
        <f>M68</f>
        <v>苍蝇贴</v>
      </c>
      <c r="O68" t="str">
        <v>กับดักแมลงวัน</v>
      </c>
      <c r="P68" t="str">
        <v>PH</v>
      </c>
      <c r="R68" t="str">
        <v>PO26-0036581-D027</v>
      </c>
      <c r="V68" t="str">
        <v>SEA</v>
      </c>
      <c r="W68" t="str">
        <v>YY</v>
      </c>
    </row>
    <row r="69">
      <c r="A69" t="str">
        <v>YWYY13038</v>
      </c>
      <c r="B69" t="str">
        <v>2026.6.25</v>
      </c>
      <c r="C69" t="str">
        <v>X9002658</v>
      </c>
      <c r="D69" t="str">
        <v>SP/EMOO/SEA</v>
      </c>
      <c r="E69">
        <v>7</v>
      </c>
      <c r="F69">
        <v>100</v>
      </c>
      <c r="G69">
        <f>144/8</f>
        <v>18</v>
      </c>
      <c r="H69">
        <f>G69*E69</f>
        <v>126</v>
      </c>
      <c r="I69">
        <v>45</v>
      </c>
      <c r="J69">
        <v>42</v>
      </c>
      <c r="K69">
        <v>62</v>
      </c>
      <c r="L69">
        <f>K69*J69*I69*E69*0.000001</f>
        <v>0.82026</v>
      </c>
      <c r="M69" t="str">
        <v>喷雾喷头</v>
      </c>
      <c r="N69" t="str">
        <f>M69</f>
        <v>喷雾喷头</v>
      </c>
      <c r="O69" t="str">
        <v>หัวฉีดสเปรย์</v>
      </c>
      <c r="P69" t="str">
        <v>PH</v>
      </c>
      <c r="R69" t="str">
        <v>500266161875</v>
      </c>
      <c r="V69" t="str">
        <v>SEA</v>
      </c>
      <c r="W69" t="str">
        <v>YY</v>
      </c>
    </row>
    <row r="70">
      <c r="B70" t="str">
        <v>2026.6.25</v>
      </c>
      <c r="C70" t="str">
        <v>X9002658</v>
      </c>
      <c r="D70" t="str">
        <v>SP/EMOO/SEA</v>
      </c>
      <c r="E70">
        <v>1</v>
      </c>
      <c r="F70">
        <v>100</v>
      </c>
      <c r="G70">
        <f>144/8</f>
        <v>18</v>
      </c>
      <c r="H70">
        <f>G70*E70</f>
        <v>18</v>
      </c>
      <c r="I70">
        <v>43</v>
      </c>
      <c r="J70">
        <v>38</v>
      </c>
      <c r="K70">
        <v>47</v>
      </c>
      <c r="L70">
        <f>K70*J70*I70*E70*0.000001</f>
        <v>0.076798</v>
      </c>
      <c r="M70" t="str">
        <v>喷雾喷头</v>
      </c>
      <c r="N70" t="str">
        <f>M70</f>
        <v>喷雾喷头</v>
      </c>
      <c r="O70" t="str">
        <v>หัวฉีดสเปรย์</v>
      </c>
      <c r="P70" t="str">
        <v>PH</v>
      </c>
      <c r="V70" t="str">
        <v>SEA</v>
      </c>
      <c r="W70" t="str">
        <v>YY</v>
      </c>
    </row>
    <row r="71">
      <c r="A71" t="str">
        <v>YWYY13039</v>
      </c>
      <c r="B71" t="str">
        <v>2026.6.25</v>
      </c>
      <c r="C71" t="str">
        <v>X9002661</v>
      </c>
      <c r="D71" t="str">
        <v>TR172/SEA</v>
      </c>
      <c r="E71">
        <v>5</v>
      </c>
      <c r="F71">
        <v>100</v>
      </c>
      <c r="G71">
        <v>10</v>
      </c>
      <c r="H71">
        <f>G71*E71</f>
        <v>50</v>
      </c>
      <c r="I71">
        <v>53</v>
      </c>
      <c r="J71">
        <v>67</v>
      </c>
      <c r="K71">
        <v>76</v>
      </c>
      <c r="L71">
        <f>K71*J71*I71*E71*0.000001</f>
        <v>1.34938</v>
      </c>
      <c r="M71" t="str">
        <v>百洁布</v>
      </c>
      <c r="N71" t="str">
        <f>M71</f>
        <v>百洁布</v>
      </c>
      <c r="O71" t="str">
        <v>แผ่นใยขัด</v>
      </c>
      <c r="P71" t="str">
        <v>PH</v>
      </c>
      <c r="V71" t="str">
        <v>SEA</v>
      </c>
      <c r="W71" t="str">
        <v>YY</v>
      </c>
    </row>
    <row r="72">
      <c r="B72" t="str">
        <v>2026.6.25</v>
      </c>
      <c r="C72" t="str">
        <v>X9002661</v>
      </c>
      <c r="D72" t="str">
        <v>TR172/SEA</v>
      </c>
      <c r="E72">
        <v>1</v>
      </c>
      <c r="F72">
        <v>100</v>
      </c>
      <c r="G72">
        <v>10</v>
      </c>
      <c r="H72">
        <f>G72*E72</f>
        <v>10</v>
      </c>
      <c r="I72">
        <v>57</v>
      </c>
      <c r="J72">
        <v>70</v>
      </c>
      <c r="K72">
        <v>56</v>
      </c>
      <c r="L72">
        <f>K72*J72*I72*E72*0.000001</f>
        <v>0.22344</v>
      </c>
      <c r="M72" t="str">
        <v>百洁布</v>
      </c>
      <c r="N72" t="str">
        <f>M72</f>
        <v>百洁布</v>
      </c>
      <c r="O72" t="str">
        <v>แผ่นใยขัด</v>
      </c>
      <c r="P72" t="str">
        <v>PH</v>
      </c>
      <c r="V72" t="str">
        <v>SEA</v>
      </c>
      <c r="W72" t="str">
        <v>YY</v>
      </c>
    </row>
    <row r="73">
      <c r="B73" t="str">
        <v>2026.6.25</v>
      </c>
      <c r="C73" t="str">
        <v>X9002661</v>
      </c>
      <c r="D73" t="str">
        <v>TR172/SEA</v>
      </c>
      <c r="E73">
        <v>1</v>
      </c>
      <c r="F73">
        <v>100</v>
      </c>
      <c r="G73">
        <v>10</v>
      </c>
      <c r="H73">
        <f>G73*E73</f>
        <v>10</v>
      </c>
      <c r="I73">
        <v>47</v>
      </c>
      <c r="J73">
        <v>61</v>
      </c>
      <c r="K73">
        <v>63</v>
      </c>
      <c r="L73">
        <f>K73*J73*I73*E73*0.000001</f>
        <v>0.180621</v>
      </c>
      <c r="M73" t="str">
        <v>百洁布</v>
      </c>
      <c r="N73" t="str">
        <f>M73</f>
        <v>百洁布</v>
      </c>
      <c r="O73" t="str">
        <v>แผ่นใยขัด</v>
      </c>
      <c r="P73" t="str">
        <v>PH</v>
      </c>
      <c r="V73" t="str">
        <v>SEA</v>
      </c>
      <c r="W73" t="str">
        <v>YY</v>
      </c>
    </row>
    <row r="74">
      <c r="A74" t="str">
        <v>YWYY13040</v>
      </c>
      <c r="B74" t="str">
        <v>2026.6.25</v>
      </c>
      <c r="C74" t="str">
        <v>X9002664</v>
      </c>
      <c r="D74" t="str">
        <v>KD/FBELL/SEA</v>
      </c>
      <c r="E74">
        <v>1</v>
      </c>
      <c r="F74">
        <v>1</v>
      </c>
      <c r="G74">
        <v>1</v>
      </c>
      <c r="H74">
        <f>G74*E74</f>
        <v>1</v>
      </c>
      <c r="I74">
        <v>40</v>
      </c>
      <c r="J74">
        <v>31</v>
      </c>
      <c r="K74">
        <v>2</v>
      </c>
      <c r="L74">
        <f>K74*J74*I74*E74*0.000001</f>
        <v>0.00248</v>
      </c>
      <c r="M74" t="str">
        <v>上衣</v>
      </c>
      <c r="N74" t="str">
        <f>M74</f>
        <v>上衣</v>
      </c>
      <c r="O74" t="str">
        <v>เสื้อ</v>
      </c>
      <c r="P74" t="str">
        <v>PH</v>
      </c>
      <c r="R74" t="str">
        <v>435238003727171</v>
      </c>
      <c r="V74" t="str">
        <v>SEA</v>
      </c>
      <c r="W74" t="str">
        <v>YY</v>
      </c>
    </row>
    <row r="75">
      <c r="A75" t="str">
        <v>YWYY13041</v>
      </c>
      <c r="B75" t="str">
        <v>2026.6.25</v>
      </c>
      <c r="C75" t="str">
        <v>X9001034</v>
      </c>
      <c r="D75" t="str">
        <v>SPW/BB457/SEA</v>
      </c>
      <c r="E75">
        <v>7</v>
      </c>
      <c r="F75">
        <v>10</v>
      </c>
      <c r="G75">
        <v>7.5</v>
      </c>
      <c r="H75">
        <f>G75*E75</f>
        <v>52.5</v>
      </c>
      <c r="I75">
        <v>30</v>
      </c>
      <c r="J75">
        <v>31</v>
      </c>
      <c r="K75">
        <v>42</v>
      </c>
      <c r="L75">
        <f>K75*J75*I75*E75*0.000001</f>
        <v>0.27342</v>
      </c>
      <c r="M75" t="str">
        <v>果冻加磁圈</v>
      </c>
      <c r="N75" t="str">
        <f>M75</f>
        <v>果冻加磁圈</v>
      </c>
      <c r="O75" t="str">
        <v>วงแหวนแม่เหล็ก</v>
      </c>
      <c r="P75" t="str">
        <v>PH</v>
      </c>
      <c r="R75" t="str">
        <v>71908870088001</v>
      </c>
      <c r="V75" t="str">
        <v>SEA</v>
      </c>
      <c r="W75" t="str">
        <v>YY</v>
      </c>
    </row>
    <row r="76">
      <c r="A76" t="str">
        <v>YWYY13042</v>
      </c>
      <c r="B76" t="str">
        <v>2026.6.25</v>
      </c>
      <c r="C76" t="str">
        <v>X9001035</v>
      </c>
      <c r="D76" t="str">
        <v>SP/SFOR/SEA</v>
      </c>
      <c r="E76">
        <v>1</v>
      </c>
      <c r="F76">
        <v>1</v>
      </c>
      <c r="G76">
        <v>12.3</v>
      </c>
      <c r="H76">
        <f>G76*E76</f>
        <v>12.3</v>
      </c>
      <c r="I76">
        <v>35</v>
      </c>
      <c r="J76">
        <v>35</v>
      </c>
      <c r="K76">
        <v>26</v>
      </c>
      <c r="L76">
        <f>K76*J76*I76*E76*0.000001</f>
        <v>0.03185</v>
      </c>
      <c r="M76" t="str">
        <v>拴狗绳</v>
      </c>
      <c r="N76" t="str">
        <f>M76</f>
        <v>拴狗绳</v>
      </c>
      <c r="O76" t="str">
        <v>สายจูงสุนัข</v>
      </c>
      <c r="P76" t="str">
        <v>PH</v>
      </c>
      <c r="R76" t="str">
        <v>79012861310283</v>
      </c>
      <c r="V76" t="str">
        <v>SEA</v>
      </c>
      <c r="W76" t="str">
        <v>YY</v>
      </c>
    </row>
    <row r="77">
      <c r="A77" t="str">
        <v>YWYY13043</v>
      </c>
      <c r="B77" t="str">
        <v>2026.6.25</v>
      </c>
      <c r="C77" t="str">
        <v>X9001036</v>
      </c>
      <c r="D77" t="str">
        <v>KD/FBELL/SEA</v>
      </c>
      <c r="E77">
        <v>1</v>
      </c>
      <c r="F77">
        <v>1</v>
      </c>
      <c r="G77">
        <v>12.5</v>
      </c>
      <c r="H77">
        <f>G77*E77</f>
        <v>12.5</v>
      </c>
      <c r="I77">
        <v>18</v>
      </c>
      <c r="J77">
        <v>55</v>
      </c>
      <c r="K77">
        <v>82</v>
      </c>
      <c r="L77">
        <f>K77*J77*I77*E77*0.000001</f>
        <v>0.08118</v>
      </c>
      <c r="M77" t="str">
        <v>儿童餐椅</v>
      </c>
      <c r="N77" t="str">
        <f>M77</f>
        <v>儿童餐椅</v>
      </c>
      <c r="O77" t="str">
        <v>เก้าอี้สูงสำหรับเด็ก</v>
      </c>
      <c r="P77" t="str">
        <v>PH</v>
      </c>
      <c r="R77" t="str">
        <v>435237927565511/754017237/4696592</v>
      </c>
      <c r="V77" t="str">
        <v>SEA</v>
      </c>
      <c r="W77" t="str">
        <v>YY</v>
      </c>
    </row>
    <row r="78">
      <c r="A78" t="str">
        <v>YWYY13044</v>
      </c>
      <c r="B78" t="str">
        <v>2026.6.25</v>
      </c>
      <c r="C78" t="str">
        <v>X9001037</v>
      </c>
      <c r="D78" t="str">
        <v>MG/NONG/SEA</v>
      </c>
      <c r="E78">
        <v>1</v>
      </c>
      <c r="F78">
        <v>1</v>
      </c>
      <c r="G78">
        <v>1</v>
      </c>
      <c r="H78">
        <f>G78*E78</f>
        <v>1</v>
      </c>
      <c r="I78">
        <v>14</v>
      </c>
      <c r="J78">
        <v>16</v>
      </c>
      <c r="K78">
        <v>5</v>
      </c>
      <c r="L78">
        <f>K78*J78*I78*E78*0.000001</f>
        <v>0.00112</v>
      </c>
      <c r="M78" t="str">
        <v>摇控器</v>
      </c>
      <c r="N78" t="str">
        <f>M78</f>
        <v>摇控器</v>
      </c>
      <c r="O78" t="str">
        <v>รีโมทคอนโทรล</v>
      </c>
      <c r="P78" t="str">
        <v>PH</v>
      </c>
      <c r="V78" t="str">
        <v>SEA</v>
      </c>
      <c r="W78" t="str">
        <v>YY</v>
      </c>
    </row>
    <row r="79">
      <c r="A79" t="str">
        <v>YWYY13045</v>
      </c>
      <c r="B79" t="str">
        <v>2026.6.25</v>
      </c>
      <c r="C79" t="str">
        <v>X9002665</v>
      </c>
      <c r="D79" t="str">
        <v>SPK/4K/SEA</v>
      </c>
      <c r="E79">
        <v>9</v>
      </c>
      <c r="F79">
        <v>10</v>
      </c>
      <c r="G79">
        <v>34</v>
      </c>
      <c r="H79">
        <f>G79*E79</f>
        <v>306</v>
      </c>
      <c r="I79">
        <v>19</v>
      </c>
      <c r="J79">
        <v>40</v>
      </c>
      <c r="K79">
        <v>20</v>
      </c>
      <c r="L79">
        <f>K79*J79*I79*E79*0.000001</f>
        <v>0.1368</v>
      </c>
      <c r="M79" t="str">
        <v>电动自行车</v>
      </c>
      <c r="N79" t="str">
        <f>M79</f>
        <v>电动自行车</v>
      </c>
      <c r="O79" t="str">
        <v>จักรยานไฟฟ้า</v>
      </c>
      <c r="P79" t="str">
        <v>PH</v>
      </c>
      <c r="V79" t="str">
        <v>SEA</v>
      </c>
      <c r="W79" t="str">
        <v>YY</v>
      </c>
    </row>
    <row r="80">
      <c r="B80" t="str">
        <v>2026.6.25</v>
      </c>
      <c r="C80" t="str">
        <v>X9002665</v>
      </c>
      <c r="D80" t="str">
        <v>SPK/4K/SEA</v>
      </c>
      <c r="E80">
        <v>5</v>
      </c>
      <c r="F80">
        <v>10</v>
      </c>
      <c r="G80">
        <v>34</v>
      </c>
      <c r="H80">
        <f>G80*E80</f>
        <v>170</v>
      </c>
      <c r="I80">
        <v>21</v>
      </c>
      <c r="J80">
        <v>31</v>
      </c>
      <c r="K80">
        <v>14</v>
      </c>
      <c r="L80">
        <f>K80*J80*I80*E80*0.000001</f>
        <v>0.04557</v>
      </c>
      <c r="M80" t="str">
        <v>电动自行车</v>
      </c>
      <c r="N80" t="str">
        <f>M80</f>
        <v>电动自行车</v>
      </c>
      <c r="O80" t="str">
        <v>จักรยานไฟฟ้า</v>
      </c>
      <c r="P80" t="str">
        <v>PH</v>
      </c>
      <c r="V80" t="str">
        <v>SEA</v>
      </c>
      <c r="W80" t="str">
        <v>YY</v>
      </c>
    </row>
    <row r="81">
      <c r="B81" t="str">
        <v>2026.6.25</v>
      </c>
      <c r="C81" t="str">
        <v>X9002665</v>
      </c>
      <c r="D81" t="str">
        <v>SPK/4K/SEA</v>
      </c>
      <c r="E81">
        <v>2</v>
      </c>
      <c r="F81">
        <v>10</v>
      </c>
      <c r="G81">
        <v>34</v>
      </c>
      <c r="H81">
        <f>G81*E81</f>
        <v>68</v>
      </c>
      <c r="I81">
        <v>94</v>
      </c>
      <c r="J81">
        <v>26</v>
      </c>
      <c r="K81">
        <v>49</v>
      </c>
      <c r="L81">
        <f>K81*J81*I81*E81*0.000001</f>
        <v>0.239512</v>
      </c>
      <c r="M81" t="str">
        <v>电动自行车</v>
      </c>
      <c r="N81" t="str">
        <f>M81</f>
        <v>电动自行车</v>
      </c>
      <c r="O81" t="str">
        <v>จักรยานไฟฟ้า</v>
      </c>
      <c r="P81" t="str">
        <v>PH</v>
      </c>
      <c r="V81" t="str">
        <v>SEA</v>
      </c>
      <c r="W81" t="str">
        <v>YY</v>
      </c>
    </row>
    <row r="82">
      <c r="B82" t="str">
        <v>2026.6.25</v>
      </c>
      <c r="C82" t="str">
        <v>X9002665</v>
      </c>
      <c r="D82" t="str">
        <v>SPK/4K/SEA</v>
      </c>
      <c r="E82">
        <v>5</v>
      </c>
      <c r="F82">
        <v>10</v>
      </c>
      <c r="G82">
        <v>34</v>
      </c>
      <c r="H82">
        <f>G82*E82</f>
        <v>170</v>
      </c>
      <c r="I82">
        <v>130</v>
      </c>
      <c r="J82">
        <v>31</v>
      </c>
      <c r="K82">
        <v>63</v>
      </c>
      <c r="L82">
        <f>K82*J82*I82*E82*0.000001</f>
        <v>1.26945</v>
      </c>
      <c r="M82" t="str">
        <v>电动自行车</v>
      </c>
      <c r="N82" t="str">
        <f>M82</f>
        <v>电动自行车</v>
      </c>
      <c r="O82" t="str">
        <v>จักรยานไฟฟ้า</v>
      </c>
      <c r="P82" t="str">
        <v>PH</v>
      </c>
      <c r="V82" t="str">
        <v>SEA</v>
      </c>
      <c r="W82" t="str">
        <v>YY</v>
      </c>
    </row>
    <row r="83">
      <c r="B83" t="str">
        <v>2026.6.25</v>
      </c>
      <c r="C83" t="str">
        <v>X9002665</v>
      </c>
      <c r="D83" t="str">
        <v>SPK/4K/SEA</v>
      </c>
      <c r="E83">
        <v>2</v>
      </c>
      <c r="F83">
        <v>10</v>
      </c>
      <c r="G83">
        <v>34</v>
      </c>
      <c r="H83">
        <f>G83*E83</f>
        <v>68</v>
      </c>
      <c r="I83">
        <v>170</v>
      </c>
      <c r="J83">
        <v>87</v>
      </c>
      <c r="K83">
        <v>48</v>
      </c>
      <c r="L83">
        <f>K83*J83*I83*E83*0.000001</f>
        <v>1.41984</v>
      </c>
      <c r="M83" t="str">
        <v>电动自行车</v>
      </c>
      <c r="N83" t="str">
        <f>M83</f>
        <v>电动自行车</v>
      </c>
      <c r="O83" t="str">
        <v>จักรยานไฟฟ้า</v>
      </c>
      <c r="P83" t="str">
        <v>PH</v>
      </c>
      <c r="V83" t="str">
        <v>SEA</v>
      </c>
      <c r="W83" t="str">
        <v>YY</v>
      </c>
    </row>
    <row r="84">
      <c r="B84" t="str">
        <v>2026.6.25</v>
      </c>
      <c r="C84" t="str">
        <v>X9002665</v>
      </c>
      <c r="D84" t="str">
        <v>SPK/4K/SEA</v>
      </c>
      <c r="E84">
        <v>7</v>
      </c>
      <c r="F84">
        <v>10</v>
      </c>
      <c r="G84">
        <v>34</v>
      </c>
      <c r="H84">
        <f>G84*E84</f>
        <v>238</v>
      </c>
      <c r="I84">
        <v>165</v>
      </c>
      <c r="J84">
        <v>45</v>
      </c>
      <c r="K84">
        <v>87</v>
      </c>
      <c r="L84">
        <f>K84*J84*I84*E84*0.000001</f>
        <v>4.521825</v>
      </c>
      <c r="M84" t="str">
        <v>电动自行车</v>
      </c>
      <c r="N84" t="str">
        <f>M84</f>
        <v>电动自行车</v>
      </c>
      <c r="O84" t="str">
        <v>จักรยานไฟฟ้า</v>
      </c>
      <c r="P84" t="str">
        <v>PH</v>
      </c>
      <c r="V84" t="str">
        <v>SEA</v>
      </c>
      <c r="W84" t="str">
        <v>YY</v>
      </c>
    </row>
    <row r="85">
      <c r="B85" t="str">
        <v>2025.6.19</v>
      </c>
      <c r="C85" t="str">
        <v>K0025858</v>
      </c>
      <c r="D85" t="str">
        <v>MTC153-SEA</v>
      </c>
      <c r="E85">
        <v>1</v>
      </c>
      <c r="G85">
        <v>100</v>
      </c>
      <c r="H85">
        <f>E85*G85</f>
        <v>100</v>
      </c>
      <c r="I85">
        <v>76</v>
      </c>
      <c r="J85">
        <v>107</v>
      </c>
      <c r="K85">
        <v>100</v>
      </c>
      <c r="L85">
        <f>K85*J85*I85*E85*0.000001</f>
        <v>0.8132</v>
      </c>
      <c r="M85" t="str">
        <v>草帽</v>
      </c>
      <c r="N85" t="str">
        <v>草帽</v>
      </c>
      <c r="O85" t="str">
        <v>หมวกฟาง</v>
      </c>
    </row>
    <row r="86">
      <c r="B86" t="str">
        <v>2025.6.20</v>
      </c>
      <c r="C86" t="str">
        <v>K0025859</v>
      </c>
      <c r="D86" t="str">
        <v>MTC9087-SEA</v>
      </c>
      <c r="E86">
        <v>2</v>
      </c>
      <c r="G86">
        <v>9</v>
      </c>
      <c r="H86">
        <f>E86*G86</f>
        <v>18</v>
      </c>
      <c r="I86">
        <v>34</v>
      </c>
      <c r="J86">
        <v>61</v>
      </c>
      <c r="K86">
        <v>46</v>
      </c>
      <c r="L86">
        <f>K86*J86*I86*E86*0.000001</f>
        <v>0.190808</v>
      </c>
      <c r="M86" t="str">
        <v>塑料盒</v>
      </c>
      <c r="N86" t="str">
        <v>塑料盒</v>
      </c>
      <c r="O86" t="str">
        <v>กล่องพลาสติก</v>
      </c>
    </row>
    <row r="87">
      <c r="B87" t="str">
        <v>2025.6.20</v>
      </c>
      <c r="C87" t="str">
        <v>K0025859</v>
      </c>
      <c r="D87" t="str">
        <v>MTC9087-SEA</v>
      </c>
      <c r="E87">
        <v>2</v>
      </c>
      <c r="G87">
        <v>9</v>
      </c>
      <c r="H87">
        <f>E87*G87</f>
        <v>18</v>
      </c>
      <c r="I87">
        <v>53</v>
      </c>
      <c r="J87">
        <v>28</v>
      </c>
      <c r="K87">
        <v>44</v>
      </c>
      <c r="L87">
        <f>K87*J87*I87*E87*0.000001</f>
        <v>0.130592</v>
      </c>
      <c r="M87" t="str">
        <v>塑料盒</v>
      </c>
      <c r="N87" t="str">
        <v>塑料盒</v>
      </c>
      <c r="O87" t="str">
        <v>กล่องพลาสติก</v>
      </c>
    </row>
    <row r="88">
      <c r="B88" t="str">
        <v>2025.6.21</v>
      </c>
      <c r="C88" t="str">
        <v>K0025860</v>
      </c>
      <c r="D88" t="str">
        <v>MTC691-SEA</v>
      </c>
      <c r="E88">
        <v>20</v>
      </c>
      <c r="G88">
        <v>20</v>
      </c>
      <c r="H88">
        <f>E88*G88</f>
        <v>400</v>
      </c>
      <c r="I88">
        <v>47</v>
      </c>
      <c r="J88">
        <v>64</v>
      </c>
      <c r="K88">
        <v>56</v>
      </c>
      <c r="L88">
        <f>K88*J88*I88*E88*0.000001</f>
        <v>3.36896</v>
      </c>
      <c r="M88" t="str">
        <v>手电筒</v>
      </c>
      <c r="N88" t="str">
        <v>手电筒</v>
      </c>
      <c r="O88" t="str">
        <v>ไฟฉาย</v>
      </c>
    </row>
    <row r="89">
      <c r="B89" t="str">
        <v>2025.6.22</v>
      </c>
      <c r="C89" t="str">
        <v>K0025861</v>
      </c>
      <c r="D89" t="str">
        <v>MTC9066-SEA</v>
      </c>
      <c r="E89">
        <v>10</v>
      </c>
      <c r="G89">
        <v>9.6</v>
      </c>
      <c r="H89">
        <f>E89*G89</f>
        <v>96</v>
      </c>
      <c r="I89">
        <v>41</v>
      </c>
      <c r="J89">
        <v>46</v>
      </c>
      <c r="K89">
        <v>59</v>
      </c>
      <c r="L89">
        <f>K89*J89*I89*E89*0.000001</f>
        <v>1.11274</v>
      </c>
      <c r="M89" t="str">
        <v>工具箱</v>
      </c>
      <c r="N89" t="str">
        <v>工具箱</v>
      </c>
      <c r="O89" t="str">
        <v>กล่องเครื่องมือ</v>
      </c>
    </row>
    <row r="90">
      <c r="B90" t="str">
        <v>2025.6.22</v>
      </c>
      <c r="C90" t="str">
        <v>K0025861</v>
      </c>
      <c r="D90" t="str">
        <v>MTC9066-SEA</v>
      </c>
      <c r="E90">
        <v>10</v>
      </c>
      <c r="G90">
        <v>14</v>
      </c>
      <c r="H90">
        <f>E90*G90</f>
        <v>140</v>
      </c>
      <c r="I90">
        <v>53</v>
      </c>
      <c r="J90">
        <v>51</v>
      </c>
      <c r="K90">
        <v>63</v>
      </c>
      <c r="L90">
        <f>K90*J90*I90*E90*0.000001</f>
        <v>1.70289</v>
      </c>
      <c r="M90" t="str">
        <v>工具箱</v>
      </c>
      <c r="N90" t="str">
        <v>工具箱</v>
      </c>
      <c r="O90" t="str">
        <v>กล่องเครื่องมือ</v>
      </c>
    </row>
    <row r="91">
      <c r="B91" t="str">
        <v>2025.6.23</v>
      </c>
      <c r="C91" t="str">
        <v>K0025862</v>
      </c>
      <c r="D91" t="str">
        <v>MTC538-SEA</v>
      </c>
      <c r="E91">
        <v>2</v>
      </c>
      <c r="G91">
        <v>1720</v>
      </c>
      <c r="H91">
        <f>E91*G91</f>
        <v>3440</v>
      </c>
      <c r="I91">
        <v>110</v>
      </c>
      <c r="J91">
        <v>110</v>
      </c>
      <c r="K91">
        <v>103</v>
      </c>
      <c r="L91">
        <f>K91*J91*I91*E91*0.000001</f>
        <v>2.4926</v>
      </c>
      <c r="M91" t="str">
        <v>轮毂螺帽</v>
      </c>
      <c r="N91" t="str">
        <v>轮毂螺帽</v>
      </c>
      <c r="O91" t="str">
        <v>น็อตล้อ</v>
      </c>
    </row>
    <row r="92">
      <c r="B92" t="str">
        <v>2025.6.23</v>
      </c>
      <c r="C92" t="str">
        <v>K0025863</v>
      </c>
      <c r="D92" t="str">
        <v>MTC9066-SEA</v>
      </c>
      <c r="E92">
        <v>10</v>
      </c>
      <c r="G92">
        <v>15</v>
      </c>
      <c r="H92">
        <f>E92*G92</f>
        <v>150</v>
      </c>
      <c r="I92">
        <v>30</v>
      </c>
      <c r="J92">
        <v>58</v>
      </c>
      <c r="K92">
        <v>20</v>
      </c>
      <c r="L92">
        <f>K92*J92*I92*E92*0.000001</f>
        <v>0.348</v>
      </c>
      <c r="M92" t="str">
        <v>电工胶带</v>
      </c>
      <c r="N92" t="str">
        <v>电工胶带</v>
      </c>
      <c r="O92" t="str">
        <v>เทปพันสายไฟ</v>
      </c>
    </row>
    <row r="93">
      <c r="B93" t="str">
        <v>2025.6.23</v>
      </c>
      <c r="C93" t="str">
        <v>K0025863</v>
      </c>
      <c r="D93" t="str">
        <v>MTC9066-SEA</v>
      </c>
      <c r="E93">
        <v>10</v>
      </c>
      <c r="G93">
        <v>16</v>
      </c>
      <c r="H93">
        <f>E93*G93</f>
        <v>160</v>
      </c>
      <c r="I93">
        <v>37</v>
      </c>
      <c r="J93">
        <v>37</v>
      </c>
      <c r="K93">
        <v>21</v>
      </c>
      <c r="L93">
        <f>K93*J93*I93*E93*0.000001</f>
        <v>0.28749</v>
      </c>
      <c r="M93" t="str">
        <v>电工胶带</v>
      </c>
      <c r="N93" t="str">
        <v>电工胶带</v>
      </c>
      <c r="O93" t="str">
        <v>เทปพันสายไฟ</v>
      </c>
    </row>
    <row r="94">
      <c r="B94" t="str">
        <v>2025.6.25</v>
      </c>
      <c r="C94" t="str">
        <v>K0025865</v>
      </c>
      <c r="D94" t="str">
        <v>MTC691-SEA</v>
      </c>
      <c r="E94">
        <v>1</v>
      </c>
      <c r="G94">
        <v>285.7142</v>
      </c>
      <c r="H94">
        <f>E94*G94</f>
        <v>285.7142</v>
      </c>
      <c r="I94">
        <v>110</v>
      </c>
      <c r="J94">
        <v>109</v>
      </c>
      <c r="K94">
        <v>168</v>
      </c>
      <c r="L94">
        <f>K94*J94*I94*E94*0.000001</f>
        <v>2.01432</v>
      </c>
      <c r="M94" t="str">
        <v>塑料盒/宠物零食</v>
      </c>
      <c r="N94" t="str">
        <v>塑料盒/宠物零食</v>
      </c>
      <c r="O94" t="str">
        <v>กล่องพลาสติก/ขนมสัตว์เลี้ยง</v>
      </c>
    </row>
    <row r="95">
      <c r="B95" t="str">
        <v>2025.6.25</v>
      </c>
      <c r="C95" t="str">
        <v>K0025865</v>
      </c>
      <c r="D95" t="str">
        <v>MTC691-SEA</v>
      </c>
      <c r="E95">
        <v>1</v>
      </c>
      <c r="G95">
        <v>285.7142</v>
      </c>
      <c r="H95">
        <f>E95*G95</f>
        <v>285.7142</v>
      </c>
      <c r="I95">
        <v>131</v>
      </c>
      <c r="J95">
        <v>157</v>
      </c>
      <c r="K95">
        <v>120</v>
      </c>
      <c r="L95">
        <f>K95*J95*I95*E95*0.000001</f>
        <v>2.46804</v>
      </c>
      <c r="M95" t="str">
        <v>塑料盒/宠物零食</v>
      </c>
      <c r="N95" t="str">
        <v>塑料盒/宠物零食</v>
      </c>
      <c r="O95" t="str">
        <v>กล่องพลาสติก/ขนมสัตว์เลี้ยง</v>
      </c>
    </row>
    <row r="96">
      <c r="B96" t="str">
        <v>2025.6.25</v>
      </c>
      <c r="C96" t="str">
        <v>K0025865</v>
      </c>
      <c r="D96" t="str">
        <v>MTC691-SEA</v>
      </c>
      <c r="E96">
        <v>1</v>
      </c>
      <c r="G96">
        <v>285.7142</v>
      </c>
      <c r="H96">
        <f>E96*G96</f>
        <v>285.7142</v>
      </c>
      <c r="I96">
        <v>197</v>
      </c>
      <c r="J96">
        <v>85</v>
      </c>
      <c r="K96">
        <v>114</v>
      </c>
      <c r="L96">
        <f>K96*J96*I96*E96*0.000001</f>
        <v>1.90893</v>
      </c>
      <c r="M96" t="str">
        <v>塑料盒/宠物零食</v>
      </c>
      <c r="N96" t="str">
        <v>塑料盒/宠物零食</v>
      </c>
      <c r="O96" t="str">
        <v>กล่องพลาสติก/ขนมสัตว์เลี้ยง</v>
      </c>
    </row>
    <row r="97">
      <c r="B97" t="str">
        <v>2025.6.25</v>
      </c>
      <c r="C97" t="str">
        <v>K0025865</v>
      </c>
      <c r="D97" t="str">
        <v>MTC691-SEA</v>
      </c>
      <c r="E97">
        <v>1</v>
      </c>
      <c r="G97">
        <v>285.7142</v>
      </c>
      <c r="H97">
        <f>E97*G97</f>
        <v>285.7142</v>
      </c>
      <c r="I97">
        <v>120</v>
      </c>
      <c r="J97">
        <v>180</v>
      </c>
      <c r="K97">
        <v>84</v>
      </c>
      <c r="L97">
        <f>K97*J97*I97*E97*0.000001</f>
        <v>1.8144</v>
      </c>
      <c r="M97" t="str">
        <v>塑料盒/宠物零食</v>
      </c>
      <c r="N97" t="str">
        <v>塑料盒/宠物零食</v>
      </c>
      <c r="O97" t="str">
        <v>กล่องพลาสติก/ขนมสัตว์เลี้ยง</v>
      </c>
    </row>
    <row r="98">
      <c r="B98" t="str">
        <v>2025.6.25</v>
      </c>
      <c r="C98" t="str">
        <v>K0025865</v>
      </c>
      <c r="D98" t="str">
        <v>MTC691-SEA</v>
      </c>
      <c r="E98">
        <v>1</v>
      </c>
      <c r="G98">
        <v>285.7142</v>
      </c>
      <c r="H98">
        <f>E98*G98</f>
        <v>285.7142</v>
      </c>
      <c r="I98">
        <v>167</v>
      </c>
      <c r="J98">
        <v>127</v>
      </c>
      <c r="K98">
        <v>120</v>
      </c>
      <c r="L98">
        <f>K98*J98*I98*E98*0.000001</f>
        <v>2.54508</v>
      </c>
      <c r="M98" t="str">
        <v>塑料盒/宠物零食</v>
      </c>
      <c r="N98" t="str">
        <v>塑料盒/宠物零食</v>
      </c>
      <c r="O98" t="str">
        <v>กล่องพลาสติก/ขนมสัตว์เลี้ยง</v>
      </c>
    </row>
    <row r="99">
      <c r="B99" t="str">
        <v>2025.6.25</v>
      </c>
      <c r="C99" t="str">
        <v>K0025865</v>
      </c>
      <c r="D99" t="str">
        <v>MTC691-SEA</v>
      </c>
      <c r="E99">
        <v>1</v>
      </c>
      <c r="G99">
        <v>285.7142</v>
      </c>
      <c r="H99">
        <f>E99*G99</f>
        <v>285.7142</v>
      </c>
      <c r="I99">
        <v>126</v>
      </c>
      <c r="J99">
        <v>167</v>
      </c>
      <c r="K99">
        <v>127</v>
      </c>
      <c r="L99">
        <f>K99*J99*I99*E99*0.000001</f>
        <v>2.672334</v>
      </c>
      <c r="M99" t="str">
        <v>塑料盒/宠物零食</v>
      </c>
      <c r="N99" t="str">
        <v>塑料盒/宠物零食</v>
      </c>
      <c r="O99" t="str">
        <v>กล่องพลาสติก/ขนมสัตว์เลี้ยง</v>
      </c>
    </row>
    <row r="100">
      <c r="B100" t="str">
        <v>2025.6.25</v>
      </c>
      <c r="C100" t="str">
        <v>K0025865</v>
      </c>
      <c r="D100" t="str">
        <v>MTC691-SEA</v>
      </c>
      <c r="E100">
        <v>1</v>
      </c>
      <c r="G100">
        <v>285.7142</v>
      </c>
      <c r="H100">
        <f>E100*G100</f>
        <v>285.7142</v>
      </c>
      <c r="I100">
        <v>121</v>
      </c>
      <c r="J100">
        <v>165</v>
      </c>
      <c r="K100">
        <v>97</v>
      </c>
      <c r="L100">
        <f>K100*J100*I100*E100*0.000001</f>
        <v>1.936605</v>
      </c>
      <c r="M100" t="str">
        <v>塑料盒/宠物零食</v>
      </c>
      <c r="N100" t="str">
        <v>塑料盒/宠物零食</v>
      </c>
      <c r="O100" t="str">
        <v>กล่องพลาสติก/ขนมสัตว์เลี้ยง</v>
      </c>
    </row>
    <row r="101">
      <c r="E101">
        <f>SUM(E5:E100)</f>
        <v>601</v>
      </c>
      <c r="H101">
        <f>SUM(H5:H100)</f>
        <v>15075.8994</v>
      </c>
      <c r="L101">
        <f>SUM(L5:L100)</f>
        <v>75.876962</v>
      </c>
    </row>
    <row r="102">
      <c r="D102" t="str">
        <f>DISPIMG("ID_BB23B8891D204A3D8825A3E9F51F2520",1)</f>
        <v>=DISPIMG("ID_BB23B8891D204A3D8825A3E9F51F2520",1)</v>
      </c>
      <c r="I102" t="str">
        <f>DISPIMG("ID_3A561DDE8D1F418EB016EA7FE823B074",1)</f>
        <v>=DISPIMG("ID_3A561DDE8D1F418EB016EA7FE823B074",1)</v>
      </c>
      <c r="O102" t="str">
        <f>DISPIMG("ID_F3BDA94DACFA4442B6A4301150FA4C08",1)</f>
        <v>=DISPIMG("ID_F3BDA94DACFA4442B6A4301150FA4C08",1)</v>
      </c>
    </row>
  </sheetData>
  <autoFilter ref="A4:XEY84"/>
  <mergeCells count="20">
    <mergeCell ref="B2:Z2"/>
    <mergeCell ref="B3:Z3"/>
    <mergeCell ref="A5:A6"/>
    <mergeCell ref="A10:A11"/>
    <mergeCell ref="A17:A18"/>
    <mergeCell ref="A29:A30"/>
    <mergeCell ref="A33:A34"/>
    <mergeCell ref="A38:A39"/>
    <mergeCell ref="A40:A41"/>
    <mergeCell ref="A42:A44"/>
    <mergeCell ref="A47:A48"/>
    <mergeCell ref="A49:A50"/>
    <mergeCell ref="A54:A55"/>
    <mergeCell ref="A56:A57"/>
    <mergeCell ref="A58:A61"/>
    <mergeCell ref="A64:A65"/>
    <mergeCell ref="A66:A67"/>
    <mergeCell ref="A69:A70"/>
    <mergeCell ref="A71:A73"/>
    <mergeCell ref="A79:A84"/>
  </mergeCells>
  <pageMargins left="0.75" right="0.75" top="1" bottom="1" header="0.511805555555556" footer="0.511805555555556"/>
  <ignoredErrors>
    <ignoredError numberStoredAsText="1" sqref="A1:WTX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